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91951\Downloads\Excel\"/>
    </mc:Choice>
  </mc:AlternateContent>
  <xr:revisionPtr revIDLastSave="0" documentId="13_ncr:1_{E7023E84-A56F-4A04-8E2A-34BFA8242312}" xr6:coauthVersionLast="47" xr6:coauthVersionMax="47" xr10:uidLastSave="{00000000-0000-0000-0000-000000000000}"/>
  <bookViews>
    <workbookView xWindow="-108" yWindow="-108" windowWidth="23256" windowHeight="12456" activeTab="4" xr2:uid="{00000000-000D-0000-FFFF-FFFF00000000}"/>
  </bookViews>
  <sheets>
    <sheet name="Cleaned_Data" sheetId="1" r:id="rId1"/>
    <sheet name="pivots" sheetId="4" r:id="rId2"/>
    <sheet name="Values" sheetId="9" r:id="rId3"/>
    <sheet name="Questions" sheetId="6" r:id="rId4"/>
    <sheet name="Dashboard" sheetId="7" r:id="rId5"/>
  </sheets>
  <definedNames>
    <definedName name="_xlchart.v1.0" hidden="1">Cleaned_Data!$H$1</definedName>
    <definedName name="_xlchart.v1.1" hidden="1">Cleaned_Data!$H$2:$H$1001</definedName>
    <definedName name="_xlchart.v1.2" hidden="1">Cleaned_Data!$H$1</definedName>
    <definedName name="_xlchart.v1.3" hidden="1">Cleaned_Data!$H$2:$H$1001</definedName>
    <definedName name="_xlchart.v1.4" hidden="1">Cleaned_Data!$H$1</definedName>
    <definedName name="_xlchart.v1.5" hidden="1">Cleaned_Data!$H$2:$H$1001</definedName>
    <definedName name="Slicer_Department">#N/A</definedName>
    <definedName name="Slicer_Gender">#N/A</definedName>
    <definedName name="Slicer_Month_Year">#N/A</definedName>
  </definedNames>
  <calcPr calcId="191029"/>
  <pivotCaches>
    <pivotCache cacheId="3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9" l="1"/>
  <c r="H4" i="9"/>
  <c r="G4" i="4"/>
  <c r="H4" i="4"/>
  <c r="I4" i="4"/>
  <c r="J4" i="4"/>
  <c r="F4" i="4"/>
</calcChain>
</file>

<file path=xl/sharedStrings.xml><?xml version="1.0" encoding="utf-8"?>
<sst xmlns="http://schemas.openxmlformats.org/spreadsheetml/2006/main" count="5088" uniqueCount="1095">
  <si>
    <t>Patient_ID</t>
  </si>
  <si>
    <t>Age</t>
  </si>
  <si>
    <t>Gender</t>
  </si>
  <si>
    <t>Department</t>
  </si>
  <si>
    <t>Visit_Date</t>
  </si>
  <si>
    <t>Diagnosis</t>
  </si>
  <si>
    <t>Treatment_Cost</t>
  </si>
  <si>
    <t>Patient_Satisfaction</t>
  </si>
  <si>
    <t>Patients_Refused</t>
  </si>
  <si>
    <t>Month_Year</t>
  </si>
  <si>
    <t>P0001</t>
  </si>
  <si>
    <t>Female</t>
  </si>
  <si>
    <t>Orthopedics</t>
  </si>
  <si>
    <t>Hypertension</t>
  </si>
  <si>
    <t>2024-02</t>
  </si>
  <si>
    <t>P0002</t>
  </si>
  <si>
    <t>Male</t>
  </si>
  <si>
    <t>Cardiology</t>
  </si>
  <si>
    <t>Infection</t>
  </si>
  <si>
    <t>2024-07</t>
  </si>
  <si>
    <t>P0003</t>
  </si>
  <si>
    <t>Neurology</t>
  </si>
  <si>
    <t>Allergy</t>
  </si>
  <si>
    <t>2024-01</t>
  </si>
  <si>
    <t>P0004</t>
  </si>
  <si>
    <t>Dermatology</t>
  </si>
  <si>
    <t>Migraine</t>
  </si>
  <si>
    <t>2023-10</t>
  </si>
  <si>
    <t>P0005</t>
  </si>
  <si>
    <t>Diabetes</t>
  </si>
  <si>
    <t>2023-08</t>
  </si>
  <si>
    <t>P0006</t>
  </si>
  <si>
    <t>P0007</t>
  </si>
  <si>
    <t>2024-08</t>
  </si>
  <si>
    <t>P0008</t>
  </si>
  <si>
    <t>2023-05</t>
  </si>
  <si>
    <t>P0009</t>
  </si>
  <si>
    <t>P0010</t>
  </si>
  <si>
    <t>2023-06</t>
  </si>
  <si>
    <t>P0011</t>
  </si>
  <si>
    <t>2023-11</t>
  </si>
  <si>
    <t>P0012</t>
  </si>
  <si>
    <t>2024-06</t>
  </si>
  <si>
    <t>P0013</t>
  </si>
  <si>
    <t>P0014</t>
  </si>
  <si>
    <t>2024-09</t>
  </si>
  <si>
    <t>P0015</t>
  </si>
  <si>
    <t>P0016</t>
  </si>
  <si>
    <t>2024-03</t>
  </si>
  <si>
    <t>P0017</t>
  </si>
  <si>
    <t>2024-04</t>
  </si>
  <si>
    <t>P0018</t>
  </si>
  <si>
    <t>Gynecology</t>
  </si>
  <si>
    <t>Fracture</t>
  </si>
  <si>
    <t>2024-11</t>
  </si>
  <si>
    <t>P0019</t>
  </si>
  <si>
    <t>P0020</t>
  </si>
  <si>
    <t>2023-12</t>
  </si>
  <si>
    <t>P0021</t>
  </si>
  <si>
    <t>P0022</t>
  </si>
  <si>
    <t>P0023</t>
  </si>
  <si>
    <t>P0024</t>
  </si>
  <si>
    <t>Pediatrics</t>
  </si>
  <si>
    <t>2023-03</t>
  </si>
  <si>
    <t>P0025</t>
  </si>
  <si>
    <t>P0026</t>
  </si>
  <si>
    <t>2024-05</t>
  </si>
  <si>
    <t>P0027</t>
  </si>
  <si>
    <t>P0028</t>
  </si>
  <si>
    <t>P0029</t>
  </si>
  <si>
    <t>P0030</t>
  </si>
  <si>
    <t>P0031</t>
  </si>
  <si>
    <t>P0032</t>
  </si>
  <si>
    <t>P0033</t>
  </si>
  <si>
    <t>P0034</t>
  </si>
  <si>
    <t>P0035</t>
  </si>
  <si>
    <t>P0036</t>
  </si>
  <si>
    <t>P0037</t>
  </si>
  <si>
    <t>2023-07</t>
  </si>
  <si>
    <t>P0038</t>
  </si>
  <si>
    <t>2023-04</t>
  </si>
  <si>
    <t>P0039</t>
  </si>
  <si>
    <t>P0040</t>
  </si>
  <si>
    <t>P0041</t>
  </si>
  <si>
    <t>P0042</t>
  </si>
  <si>
    <t>P0043</t>
  </si>
  <si>
    <t>P0044</t>
  </si>
  <si>
    <t>P0045</t>
  </si>
  <si>
    <t>P0046</t>
  </si>
  <si>
    <t>P0047</t>
  </si>
  <si>
    <t>P0048</t>
  </si>
  <si>
    <t>P0049</t>
  </si>
  <si>
    <t>2024-10</t>
  </si>
  <si>
    <t>P0050</t>
  </si>
  <si>
    <t>P0051</t>
  </si>
  <si>
    <t>2023-01</t>
  </si>
  <si>
    <t>P0052</t>
  </si>
  <si>
    <t>P0053</t>
  </si>
  <si>
    <t>P0054</t>
  </si>
  <si>
    <t>P0055</t>
  </si>
  <si>
    <t>P0056</t>
  </si>
  <si>
    <t>P0057</t>
  </si>
  <si>
    <t>P0058</t>
  </si>
  <si>
    <t>P0059</t>
  </si>
  <si>
    <t>P0060</t>
  </si>
  <si>
    <t>P0061</t>
  </si>
  <si>
    <t>P0062</t>
  </si>
  <si>
    <t>P0063</t>
  </si>
  <si>
    <t>P0064</t>
  </si>
  <si>
    <t>2023-09</t>
  </si>
  <si>
    <t>P0065</t>
  </si>
  <si>
    <t>P0066</t>
  </si>
  <si>
    <t>P0067</t>
  </si>
  <si>
    <t>P0068</t>
  </si>
  <si>
    <t>P0069</t>
  </si>
  <si>
    <t>P0070</t>
  </si>
  <si>
    <t>P0071</t>
  </si>
  <si>
    <t>P0072</t>
  </si>
  <si>
    <t>P0073</t>
  </si>
  <si>
    <t>P0074</t>
  </si>
  <si>
    <t>P0075</t>
  </si>
  <si>
    <t>P0076</t>
  </si>
  <si>
    <t>P0077</t>
  </si>
  <si>
    <t>P0078</t>
  </si>
  <si>
    <t>P0079</t>
  </si>
  <si>
    <t>P0080</t>
  </si>
  <si>
    <t>2023-02</t>
  </si>
  <si>
    <t>P0081</t>
  </si>
  <si>
    <t>P0082</t>
  </si>
  <si>
    <t>P0083</t>
  </si>
  <si>
    <t>P0084</t>
  </si>
  <si>
    <t>P0085</t>
  </si>
  <si>
    <t>P0086</t>
  </si>
  <si>
    <t>P0087</t>
  </si>
  <si>
    <t>P0088</t>
  </si>
  <si>
    <t>P0089</t>
  </si>
  <si>
    <t>P0090</t>
  </si>
  <si>
    <t>P0091</t>
  </si>
  <si>
    <t>P0092</t>
  </si>
  <si>
    <t>P0093</t>
  </si>
  <si>
    <t>P0094</t>
  </si>
  <si>
    <t>P0095</t>
  </si>
  <si>
    <t>P0096</t>
  </si>
  <si>
    <t>P0097</t>
  </si>
  <si>
    <t>P0098</t>
  </si>
  <si>
    <t>P0099</t>
  </si>
  <si>
    <t>P0100</t>
  </si>
  <si>
    <t>P0101</t>
  </si>
  <si>
    <t>P0102</t>
  </si>
  <si>
    <t>P0103</t>
  </si>
  <si>
    <t>P0104</t>
  </si>
  <si>
    <t>P0105</t>
  </si>
  <si>
    <t>P0106</t>
  </si>
  <si>
    <t>P0107</t>
  </si>
  <si>
    <t>P0108</t>
  </si>
  <si>
    <t>P0109</t>
  </si>
  <si>
    <t>P0110</t>
  </si>
  <si>
    <t>P0111</t>
  </si>
  <si>
    <t>P0112</t>
  </si>
  <si>
    <t>P0113</t>
  </si>
  <si>
    <t>P0114</t>
  </si>
  <si>
    <t>P0115</t>
  </si>
  <si>
    <t>P0116</t>
  </si>
  <si>
    <t>P0117</t>
  </si>
  <si>
    <t>P0118</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</si>
  <si>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</si>
  <si>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</si>
  <si>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</si>
  <si>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</si>
  <si>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</si>
  <si>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</si>
  <si>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</si>
  <si>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</si>
  <si>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</si>
  <si>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</si>
  <si>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</si>
  <si>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</si>
  <si>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</si>
  <si>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</si>
  <si>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</si>
  <si>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</si>
  <si>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</si>
  <si>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</si>
  <si>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</si>
  <si>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</si>
  <si>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</si>
  <si>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</si>
  <si>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</si>
  <si>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</si>
  <si>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</si>
  <si>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</si>
  <si>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</si>
  <si>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</si>
  <si>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</si>
  <si>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</si>
  <si>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</si>
  <si>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</si>
  <si>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</si>
  <si>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</si>
  <si>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</si>
  <si>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</si>
  <si>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</si>
  <si>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</si>
  <si>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</si>
  <si>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</si>
  <si>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</si>
  <si>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</si>
  <si>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</si>
  <si>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</si>
  <si>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</si>
  <si>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</si>
  <si>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</si>
  <si>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</si>
  <si>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</si>
  <si>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</si>
  <si>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</si>
  <si>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</si>
  <si>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</si>
  <si>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</si>
  <si>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</si>
  <si>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</si>
  <si>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</si>
  <si>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</si>
  <si>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</si>
  <si>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</si>
  <si>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</si>
  <si>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</si>
  <si>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</si>
  <si>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</si>
  <si>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</si>
  <si>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</si>
  <si>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</si>
  <si>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</si>
  <si>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</si>
  <si>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</si>
  <si>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</si>
  <si>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</si>
  <si>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</si>
  <si>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</si>
  <si>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</si>
  <si>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</si>
  <si>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</si>
  <si>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P0196</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</si>
  <si>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</si>
  <si>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</si>
  <si>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</si>
  <si>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</si>
  <si>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</si>
  <si>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</si>
  <si>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</si>
  <si>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</si>
  <si>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</si>
  <si>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</si>
  <si>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</si>
  <si>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</si>
  <si>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</si>
  <si>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</si>
  <si>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</si>
  <si>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</si>
  <si>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</si>
  <si>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</si>
  <si>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</si>
  <si>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</si>
  <si>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</si>
  <si>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</si>
  <si>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</si>
  <si>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</si>
  <si>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</si>
  <si>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</si>
  <si>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</si>
  <si>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</si>
  <si>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</si>
  <si>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</si>
  <si>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</si>
  <si>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</si>
  <si>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</si>
  <si>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</si>
  <si>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</si>
  <si>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</si>
  <si>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</si>
  <si>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</si>
  <si>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</si>
  <si>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P0236</t>
  </si>
  <si>
    <t>P0237</t>
  </si>
  <si>
    <t>P0238</t>
  </si>
  <si>
    <t>P0239</t>
  </si>
  <si>
    <t>P0240</t>
  </si>
  <si>
    <t>P0241</t>
  </si>
  <si>
    <t>P0242</t>
  </si>
  <si>
    <t>P0243</t>
  </si>
  <si>
    <t>P0244</t>
  </si>
  <si>
    <t>P0245</t>
  </si>
  <si>
    <t>P0246</t>
  </si>
  <si>
    <t>P0247</t>
  </si>
  <si>
    <t>P0248</t>
  </si>
  <si>
    <t>P0249</t>
  </si>
  <si>
    <t>P0250</t>
  </si>
  <si>
    <t>P0251</t>
  </si>
  <si>
    <t>P0252</t>
  </si>
  <si>
    <t>P0253</t>
  </si>
  <si>
    <t>P0254</t>
  </si>
  <si>
    <t>P0255</t>
  </si>
  <si>
    <t>P0256</t>
  </si>
  <si>
    <t>P0257</t>
  </si>
  <si>
    <t>P0258</t>
  </si>
  <si>
    <t>P0259</t>
  </si>
  <si>
    <t>P0260</t>
  </si>
  <si>
    <t>P0261</t>
  </si>
  <si>
    <t>P0262</t>
  </si>
  <si>
    <t>P0263</t>
  </si>
  <si>
    <t>P0264</t>
  </si>
  <si>
    <t>P0265</t>
  </si>
  <si>
    <t>P0266</t>
  </si>
  <si>
    <t>P0267</t>
  </si>
  <si>
    <t>P0268</t>
  </si>
  <si>
    <t>P0269</t>
  </si>
  <si>
    <t>P0270</t>
  </si>
  <si>
    <t>P0271</t>
  </si>
  <si>
    <t>P0272</t>
  </si>
  <si>
    <t>P0273</t>
  </si>
  <si>
    <t>P0274</t>
  </si>
  <si>
    <t>P0275</t>
  </si>
  <si>
    <t>P0276</t>
  </si>
  <si>
    <t>P0277</t>
  </si>
  <si>
    <t>P0278</t>
  </si>
  <si>
    <t>P0279</t>
  </si>
  <si>
    <t>P0280</t>
  </si>
  <si>
    <t>P0281</t>
  </si>
  <si>
    <t>P0282</t>
  </si>
  <si>
    <t>P0283</t>
  </si>
  <si>
    <t>P0284</t>
  </si>
  <si>
    <t>P0285</t>
  </si>
  <si>
    <t>P0286</t>
  </si>
  <si>
    <t>P0287</t>
  </si>
  <si>
    <t>P0288</t>
  </si>
  <si>
    <t>P0289</t>
  </si>
  <si>
    <t>P0290</t>
  </si>
  <si>
    <t>P0291</t>
  </si>
  <si>
    <t>P0292</t>
  </si>
  <si>
    <t>P0293</t>
  </si>
  <si>
    <t>P0294</t>
  </si>
  <si>
    <t>P0295</t>
  </si>
  <si>
    <t>P0296</t>
  </si>
  <si>
    <t>P0297</t>
  </si>
  <si>
    <t>P0298</t>
  </si>
  <si>
    <t>P0299</t>
  </si>
  <si>
    <t>P0300</t>
  </si>
  <si>
    <t>P0301</t>
  </si>
  <si>
    <t>P0302</t>
  </si>
  <si>
    <t>P0303</t>
  </si>
  <si>
    <t>P0304</t>
  </si>
  <si>
    <t>P0305</t>
  </si>
  <si>
    <t>P0306</t>
  </si>
  <si>
    <t>P0307</t>
  </si>
  <si>
    <t>P0308</t>
  </si>
  <si>
    <t>P0309</t>
  </si>
  <si>
    <t>P0310</t>
  </si>
  <si>
    <t>P0311</t>
  </si>
  <si>
    <t>P0312</t>
  </si>
  <si>
    <t>P0313</t>
  </si>
  <si>
    <t>P0314</t>
  </si>
  <si>
    <t>P0315</t>
  </si>
  <si>
    <t>P0316</t>
  </si>
  <si>
    <t>P0317</t>
  </si>
  <si>
    <t>P0318</t>
  </si>
  <si>
    <t>P0319</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</si>
  <si>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</si>
  <si>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</si>
  <si>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</si>
  <si>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</si>
  <si>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</si>
  <si>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</si>
  <si>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</si>
  <si>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</si>
  <si>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</si>
  <si>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</si>
  <si>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</si>
  <si>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</si>
  <si>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</si>
  <si>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</si>
  <si>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</si>
  <si>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</si>
  <si>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</si>
  <si>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</si>
  <si>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</si>
  <si>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</si>
  <si>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</si>
  <si>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</si>
  <si>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</si>
  <si>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</si>
  <si>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</si>
  <si>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</si>
  <si>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</si>
  <si>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</si>
  <si>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</si>
  <si>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</si>
  <si>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</si>
  <si>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</si>
  <si>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</si>
  <si>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</si>
  <si>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</si>
  <si>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</si>
  <si>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</si>
  <si>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</si>
  <si>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</si>
  <si>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</si>
  <si>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</si>
  <si>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</si>
  <si>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</si>
  <si>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</si>
  <si>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</si>
  <si>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</si>
  <si>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</si>
  <si>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</si>
  <si>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</si>
  <si>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</si>
  <si>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</si>
  <si>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</si>
  <si>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</si>
  <si>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</si>
  <si>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</si>
  <si>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</si>
  <si>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</si>
  <si>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</si>
  <si>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</si>
  <si>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</si>
  <si>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</si>
  <si>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</si>
  <si>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</si>
  <si>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</si>
  <si>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</si>
  <si>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P0385</t>
  </si>
  <si>
    <t>P0386</t>
  </si>
  <si>
    <t>P0387</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</si>
  <si>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</si>
  <si>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</si>
  <si>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</si>
  <si>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</si>
  <si>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</si>
  <si>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</si>
  <si>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</si>
  <si>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</si>
  <si>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</si>
  <si>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</si>
  <si>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</si>
  <si>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</si>
  <si>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</si>
  <si>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</si>
  <si>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</si>
  <si>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</si>
  <si>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</si>
  <si>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</si>
  <si>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</si>
  <si>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</si>
  <si>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</si>
  <si>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</si>
  <si>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</si>
  <si>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</si>
  <si>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</si>
  <si>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</si>
  <si>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</si>
  <si>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</si>
  <si>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</si>
  <si>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</si>
  <si>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</si>
  <si>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</si>
  <si>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</si>
  <si>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</si>
  <si>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</si>
  <si>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</si>
  <si>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</si>
  <si>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</si>
  <si>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</si>
  <si>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</si>
  <si>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</si>
  <si>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</si>
  <si>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</si>
  <si>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</si>
  <si>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</si>
  <si>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</si>
  <si>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P0434</t>
  </si>
  <si>
    <t>P0435</t>
  </si>
  <si>
    <t>P0436</t>
  </si>
  <si>
    <t>P0437</t>
  </si>
  <si>
    <t>P0438</t>
  </si>
  <si>
    <t>P0439</t>
  </si>
  <si>
    <t>P0440</t>
  </si>
  <si>
    <t>P0441</t>
  </si>
  <si>
    <t>P0442</t>
  </si>
  <si>
    <t>P0443</t>
  </si>
  <si>
    <t>P0444</t>
  </si>
  <si>
    <t>P0445</t>
  </si>
  <si>
    <t>P0446</t>
  </si>
  <si>
    <t>P0447</t>
  </si>
  <si>
    <t>P0448</t>
  </si>
  <si>
    <t>P0449</t>
  </si>
  <si>
    <t>P0450</t>
  </si>
  <si>
    <t>P0451</t>
  </si>
  <si>
    <t>P0452</t>
  </si>
  <si>
    <t>P0453</t>
  </si>
  <si>
    <t>P0454</t>
  </si>
  <si>
    <t>P0455</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</si>
  <si>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</si>
  <si>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</si>
  <si>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</si>
  <si>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</si>
  <si>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</si>
  <si>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</si>
  <si>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</si>
  <si>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</si>
  <si>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</si>
  <si>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</si>
  <si>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</si>
  <si>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</si>
  <si>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</si>
  <si>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</si>
  <si>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</si>
  <si>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</si>
  <si>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</si>
  <si>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</si>
  <si>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</si>
  <si>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</si>
  <si>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</si>
  <si>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</si>
  <si>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</si>
  <si>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</si>
  <si>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</si>
  <si>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</si>
  <si>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</si>
  <si>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</si>
  <si>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</si>
  <si>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P0485</t>
  </si>
  <si>
    <t>P0486</t>
  </si>
  <si>
    <t>P0487</t>
  </si>
  <si>
    <t>P0488</t>
  </si>
  <si>
    <t>P0489</t>
  </si>
  <si>
    <t>P0490</t>
  </si>
  <si>
    <t>2024-12</t>
  </si>
  <si>
    <t>P0491</t>
  </si>
  <si>
    <t>P0492</t>
  </si>
  <si>
    <t>P0493</t>
  </si>
  <si>
    <t>P0494</t>
  </si>
  <si>
    <t>P0495</t>
  </si>
  <si>
    <t>P0496</t>
  </si>
  <si>
    <t>P0497</t>
  </si>
  <si>
    <t>P0498</t>
  </si>
  <si>
    <t>P0499</t>
  </si>
  <si>
    <t>P0500</t>
  </si>
  <si>
    <t>P0501</t>
  </si>
  <si>
    <t>P0502</t>
  </si>
  <si>
    <t>P0503</t>
  </si>
  <si>
    <t>P0504</t>
  </si>
  <si>
    <t>P0505</t>
  </si>
  <si>
    <t>P0506</t>
  </si>
  <si>
    <t>P0507</t>
  </si>
  <si>
    <t>P0508</t>
  </si>
  <si>
    <t>P0509</t>
  </si>
  <si>
    <t>P0510</t>
  </si>
  <si>
    <t>P0511</t>
  </si>
  <si>
    <t>P0512</t>
  </si>
  <si>
    <t>P0513</t>
  </si>
  <si>
    <t>P0514</t>
  </si>
  <si>
    <t>P0515</t>
  </si>
  <si>
    <t>P0516</t>
  </si>
  <si>
    <t>P0517</t>
  </si>
  <si>
    <t>P0518</t>
  </si>
  <si>
    <t>P0519</t>
  </si>
  <si>
    <t>P0520</t>
  </si>
  <si>
    <t>P0521</t>
  </si>
  <si>
    <t>P0522</t>
  </si>
  <si>
    <t>P0523</t>
  </si>
  <si>
    <t>P0524</t>
  </si>
  <si>
    <t>P0525</t>
  </si>
  <si>
    <t>P0526</t>
  </si>
  <si>
    <t>P0527</t>
  </si>
  <si>
    <t>P0528</t>
  </si>
  <si>
    <t>P0529</t>
  </si>
  <si>
    <t>P0530</t>
  </si>
  <si>
    <t>P0531</t>
  </si>
  <si>
    <t>P0532</t>
  </si>
  <si>
    <t>P0533</t>
  </si>
  <si>
    <t>P0534</t>
  </si>
  <si>
    <t>P0535</t>
  </si>
  <si>
    <t>P0536</t>
  </si>
  <si>
    <t>P0537</t>
  </si>
  <si>
    <t>P0538</t>
  </si>
  <si>
    <t>P0539</t>
  </si>
  <si>
    <t>P0540</t>
  </si>
  <si>
    <t>P0541</t>
  </si>
  <si>
    <t>P0542</t>
  </si>
  <si>
    <t>P0543</t>
  </si>
  <si>
    <t>P0544</t>
  </si>
  <si>
    <t>P0545</t>
  </si>
  <si>
    <t>P0546</t>
  </si>
  <si>
    <t>P0547</t>
  </si>
  <si>
    <t>P0548</t>
  </si>
  <si>
    <t>P0549</t>
  </si>
  <si>
    <t>P0550</t>
  </si>
  <si>
    <t>P0551</t>
  </si>
  <si>
    <t>P0552</t>
  </si>
  <si>
    <t>P0553</t>
  </si>
  <si>
    <t>P0554</t>
  </si>
  <si>
    <t>P0555</t>
  </si>
  <si>
    <t>P0556</t>
  </si>
  <si>
    <t>P0557</t>
  </si>
  <si>
    <t>P0558</t>
  </si>
  <si>
    <t>P0559</t>
  </si>
  <si>
    <t>P0560</t>
  </si>
  <si>
    <t>P0561</t>
  </si>
  <si>
    <t>P0562</t>
  </si>
  <si>
    <t>P0563</t>
  </si>
  <si>
    <t>P0564</t>
  </si>
  <si>
    <t>P0565</t>
  </si>
  <si>
    <t>P0566</t>
  </si>
  <si>
    <t>P0567</t>
  </si>
  <si>
    <t>P0568</t>
  </si>
  <si>
    <t>P0569</t>
  </si>
  <si>
    <t>P0570</t>
  </si>
  <si>
    <t>P0571</t>
  </si>
  <si>
    <t>P0572</t>
  </si>
  <si>
    <t>P0573</t>
  </si>
  <si>
    <t>P0574</t>
  </si>
  <si>
    <t>P0575</t>
  </si>
  <si>
    <t>P0576</t>
  </si>
  <si>
    <t>P0577</t>
  </si>
  <si>
    <t>P0578</t>
  </si>
  <si>
    <t>P0579</t>
  </si>
  <si>
    <t>P0580</t>
  </si>
  <si>
    <t>P0581</t>
  </si>
  <si>
    <t>P0582</t>
  </si>
  <si>
    <t>P0583</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</si>
  <si>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</si>
  <si>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</si>
  <si>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</si>
  <si>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</si>
  <si>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</si>
  <si>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</si>
  <si>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</si>
  <si>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</si>
  <si>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</si>
  <si>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</si>
  <si>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</si>
  <si>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</si>
  <si>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</si>
  <si>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</si>
  <si>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</si>
  <si>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</si>
  <si>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</si>
  <si>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</si>
  <si>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</si>
  <si>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</si>
  <si>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P0604</t>
  </si>
  <si>
    <t>P0605</t>
  </si>
  <si>
    <t>P0606</t>
  </si>
  <si>
    <t>P0607</t>
  </si>
  <si>
    <t>P0608</t>
  </si>
  <si>
    <t>P0609</t>
  </si>
  <si>
    <t>P0610</t>
  </si>
  <si>
    <t>P0611</t>
  </si>
  <si>
    <t>P0612</t>
  </si>
  <si>
    <t>P0613</t>
  </si>
  <si>
    <t>P0614</t>
  </si>
  <si>
    <t>P0615</t>
  </si>
  <si>
    <t>P0616</t>
  </si>
  <si>
    <t>P0617</t>
  </si>
  <si>
    <t>P0618</t>
  </si>
  <si>
    <t>P0619</t>
  </si>
  <si>
    <t>P0620</t>
  </si>
  <si>
    <t>P0621</t>
  </si>
  <si>
    <t>P0622</t>
  </si>
  <si>
    <t>P0623</t>
  </si>
  <si>
    <t>P0624</t>
  </si>
  <si>
    <t>P0625</t>
  </si>
  <si>
    <t>P0626</t>
  </si>
  <si>
    <t>P0627</t>
  </si>
  <si>
    <t>P0628</t>
  </si>
  <si>
    <t>P0629</t>
  </si>
  <si>
    <t>P0630</t>
  </si>
  <si>
    <t>P0631</t>
  </si>
  <si>
    <t>P0632</t>
  </si>
  <si>
    <t>P0633</t>
  </si>
  <si>
    <t>P0634</t>
  </si>
  <si>
    <t>P0635</t>
  </si>
  <si>
    <t>P0636</t>
  </si>
  <si>
    <t>P0637</t>
  </si>
  <si>
    <t>P0638</t>
  </si>
  <si>
    <t>P0639</t>
  </si>
  <si>
    <t>P0640</t>
  </si>
  <si>
    <t>P0641</t>
  </si>
  <si>
    <t>P0642</t>
  </si>
  <si>
    <t>P0643</t>
  </si>
  <si>
    <t>P0644</t>
  </si>
  <si>
    <t>P0645</t>
  </si>
  <si>
    <t>P0646</t>
  </si>
  <si>
    <t>P0647</t>
  </si>
  <si>
    <t>P0648</t>
  </si>
  <si>
    <t>P0649</t>
  </si>
  <si>
    <t>P0650</t>
  </si>
  <si>
    <t>P0651</t>
  </si>
  <si>
    <t>P0652</t>
  </si>
  <si>
    <t>P0653</t>
  </si>
  <si>
    <t>P0654</t>
  </si>
  <si>
    <t>P0655</t>
  </si>
  <si>
    <t>P0656</t>
  </si>
  <si>
    <t>P0657</t>
  </si>
  <si>
    <t>P0658</t>
  </si>
  <si>
    <t>P0659</t>
  </si>
  <si>
    <t>P0660</t>
  </si>
  <si>
    <t>P0661</t>
  </si>
  <si>
    <t>P0662</t>
  </si>
  <si>
    <t>P0663</t>
  </si>
  <si>
    <t>P0664</t>
  </si>
  <si>
    <t>P0665</t>
  </si>
  <si>
    <t>P0666</t>
  </si>
  <si>
    <t>P0667</t>
  </si>
  <si>
    <t>P0668</t>
  </si>
  <si>
    <t>P0669</t>
  </si>
  <si>
    <t>P0670</t>
  </si>
  <si>
    <t>P0671</t>
  </si>
  <si>
    <t>P0672</t>
  </si>
  <si>
    <t>P0673</t>
  </si>
  <si>
    <t>P0674</t>
  </si>
  <si>
    <t>P0675</t>
  </si>
  <si>
    <t>P0676</t>
  </si>
  <si>
    <t>P0677</t>
  </si>
  <si>
    <t>P0678</t>
  </si>
  <si>
    <t>P0679</t>
  </si>
  <si>
    <t>P0680</t>
  </si>
  <si>
    <t>P0681</t>
  </si>
  <si>
    <t>P0682</t>
  </si>
  <si>
    <t>P0683</t>
  </si>
  <si>
    <t>P0684</t>
  </si>
  <si>
    <t>P0685</t>
  </si>
  <si>
    <t>P0686</t>
  </si>
  <si>
    <t>P0687</t>
  </si>
  <si>
    <t>P0688</t>
  </si>
  <si>
    <t>P0689</t>
  </si>
  <si>
    <t>P0690</t>
  </si>
  <si>
    <t>P0691</t>
  </si>
  <si>
    <t>P0692</t>
  </si>
  <si>
    <t>P0693</t>
  </si>
  <si>
    <t>P0694</t>
  </si>
  <si>
    <t>P0695</t>
  </si>
  <si>
    <t>P0696</t>
  </si>
  <si>
    <t>P0697</t>
  </si>
  <si>
    <t>P0698</t>
  </si>
  <si>
    <t>P0699</t>
  </si>
  <si>
    <t>P0700</t>
  </si>
  <si>
    <t>P0701</t>
  </si>
  <si>
    <t>P0702</t>
  </si>
  <si>
    <t>P0703</t>
  </si>
  <si>
    <t>P0704</t>
  </si>
  <si>
    <t>P0705</t>
  </si>
  <si>
    <t>P0706</t>
  </si>
  <si>
    <t>P0707</t>
  </si>
  <si>
    <t>P0708</t>
  </si>
  <si>
    <t>P0709</t>
  </si>
  <si>
    <t>P0710</t>
  </si>
  <si>
    <t>P0711</t>
  </si>
  <si>
    <t>P0712</t>
  </si>
  <si>
    <t>P0713</t>
  </si>
  <si>
    <t>P0714</t>
  </si>
  <si>
    <t>P0715</t>
  </si>
  <si>
    <t>P0716</t>
  </si>
  <si>
    <t>P0717</t>
  </si>
  <si>
    <t>P0718</t>
  </si>
  <si>
    <t>P0719</t>
  </si>
  <si>
    <t>P0720</t>
  </si>
  <si>
    <t>P0721</t>
  </si>
  <si>
    <t>P0722</t>
  </si>
  <si>
    <t>P0723</t>
  </si>
  <si>
    <t>P0724</t>
  </si>
  <si>
    <t>P0725</t>
  </si>
  <si>
    <t>P0726</t>
  </si>
  <si>
    <t>P0727</t>
  </si>
  <si>
    <t>P0728</t>
  </si>
  <si>
    <t>P0729</t>
  </si>
  <si>
    <t>P0730</t>
  </si>
  <si>
    <t>P0731</t>
  </si>
  <si>
    <t>P0732</t>
  </si>
  <si>
    <t>P0733</t>
  </si>
  <si>
    <t>P0734</t>
  </si>
  <si>
    <t>P0735</t>
  </si>
  <si>
    <t>P0736</t>
  </si>
  <si>
    <t>P0737</t>
  </si>
  <si>
    <t>P0738</t>
  </si>
  <si>
    <t>P0739</t>
  </si>
  <si>
    <t>P0740</t>
  </si>
  <si>
    <t>P0741</t>
  </si>
  <si>
    <t>P0742</t>
  </si>
  <si>
    <t>P0743</t>
  </si>
  <si>
    <t>P0744</t>
  </si>
  <si>
    <t>P0745</t>
  </si>
  <si>
    <t>P0746</t>
  </si>
  <si>
    <t>P0747</t>
  </si>
  <si>
    <t>P0748</t>
  </si>
  <si>
    <t>P0749</t>
  </si>
  <si>
    <t>P0750</t>
  </si>
  <si>
    <t>P0751</t>
  </si>
  <si>
    <t>P0752</t>
  </si>
  <si>
    <t>P0753</t>
  </si>
  <si>
    <t>P0754</t>
  </si>
  <si>
    <t>P0755</t>
  </si>
  <si>
    <t>P0756</t>
  </si>
  <si>
    <t>P0757</t>
  </si>
  <si>
    <t>P0758</t>
  </si>
  <si>
    <t>P0759</t>
  </si>
  <si>
    <t>P0760</t>
  </si>
  <si>
    <t>P0761</t>
  </si>
  <si>
    <t>P0762</t>
  </si>
  <si>
    <t>P0763</t>
  </si>
  <si>
    <t>P0764</t>
  </si>
  <si>
    <t>P0765</t>
  </si>
  <si>
    <t>P0766</t>
  </si>
  <si>
    <t>P0767</t>
  </si>
  <si>
    <t>P0768</t>
  </si>
  <si>
    <t>P0769</t>
  </si>
  <si>
    <t>P0770</t>
  </si>
  <si>
    <t>P0771</t>
  </si>
  <si>
    <t>P0772</t>
  </si>
  <si>
    <t>P0773</t>
  </si>
  <si>
    <t>P0774</t>
  </si>
  <si>
    <t>P0775</t>
  </si>
  <si>
    <t>P0776</t>
  </si>
  <si>
    <t>P0777</t>
  </si>
  <si>
    <t>P0778</t>
  </si>
  <si>
    <t>P0779</t>
  </si>
  <si>
    <t>P0780</t>
  </si>
  <si>
    <t>P0781</t>
  </si>
  <si>
    <t>P0782</t>
  </si>
  <si>
    <t>P0783</t>
  </si>
  <si>
    <t>P0784</t>
  </si>
  <si>
    <t>P0785</t>
  </si>
  <si>
    <t>P0786</t>
  </si>
  <si>
    <t>P0787</t>
  </si>
  <si>
    <t>P0788</t>
  </si>
  <si>
    <t>P0789</t>
  </si>
  <si>
    <t>P0790</t>
  </si>
  <si>
    <t>P0791</t>
  </si>
  <si>
    <t>P0792</t>
  </si>
  <si>
    <t>P0793</t>
  </si>
  <si>
    <t>P0794</t>
  </si>
  <si>
    <t>P0795</t>
  </si>
  <si>
    <t>P0796</t>
  </si>
  <si>
    <t>P0797</t>
  </si>
  <si>
    <t>P0798</t>
  </si>
  <si>
    <t>P0799</t>
  </si>
  <si>
    <t>P0800</t>
  </si>
  <si>
    <t>P0801</t>
  </si>
  <si>
    <t>P0802</t>
  </si>
  <si>
    <t>P0803</t>
  </si>
  <si>
    <t>P0804</t>
  </si>
  <si>
    <t>P0805</t>
  </si>
  <si>
    <t>P0806</t>
  </si>
  <si>
    <t>P0807</t>
  </si>
  <si>
    <t>P0808</t>
  </si>
  <si>
    <t>P0809</t>
  </si>
  <si>
    <t>P0810</t>
  </si>
  <si>
    <t>P0811</t>
  </si>
  <si>
    <t>P0812</t>
  </si>
  <si>
    <t>P0813</t>
  </si>
  <si>
    <t>P0814</t>
  </si>
  <si>
    <t>P0815</t>
  </si>
  <si>
    <t>P0816</t>
  </si>
  <si>
    <t>P0817</t>
  </si>
  <si>
    <t>P0818</t>
  </si>
  <si>
    <t>P0819</t>
  </si>
  <si>
    <t>P0820</t>
  </si>
  <si>
    <t>P0821</t>
  </si>
  <si>
    <t>P0822</t>
  </si>
  <si>
    <t>P0823</t>
  </si>
  <si>
    <t>P0824</t>
  </si>
  <si>
    <t>P0825</t>
  </si>
  <si>
    <t>P0826</t>
  </si>
  <si>
    <t>P0827</t>
  </si>
  <si>
    <t>P0828</t>
  </si>
  <si>
    <t>P0829</t>
  </si>
  <si>
    <t>P0830</t>
  </si>
  <si>
    <t>P0831</t>
  </si>
  <si>
    <t>P0832</t>
  </si>
  <si>
    <t>P0833</t>
  </si>
  <si>
    <t>P0834</t>
  </si>
  <si>
    <t>P0835</t>
  </si>
  <si>
    <t>P0836</t>
  </si>
  <si>
    <t>P0837</t>
  </si>
  <si>
    <t>P0838</t>
  </si>
  <si>
    <t>P0839</t>
  </si>
  <si>
    <t>P0840</t>
  </si>
  <si>
    <t>P0841</t>
  </si>
  <si>
    <t>P0842</t>
  </si>
  <si>
    <t>P0843</t>
  </si>
  <si>
    <t>P0844</t>
  </si>
  <si>
    <t>P0845</t>
  </si>
  <si>
    <t>P0846</t>
  </si>
  <si>
    <t>P0847</t>
  </si>
  <si>
    <t>P0848</t>
  </si>
  <si>
    <t>P0849</t>
  </si>
  <si>
    <t>P0850</t>
  </si>
  <si>
    <t>P0851</t>
  </si>
  <si>
    <t>P0852</t>
  </si>
  <si>
    <t>P0853</t>
  </si>
  <si>
    <t>P0854</t>
  </si>
  <si>
    <t>P0855</t>
  </si>
  <si>
    <t>P0856</t>
  </si>
  <si>
    <t>P0857</t>
  </si>
  <si>
    <t>P0858</t>
  </si>
  <si>
    <t>P0859</t>
  </si>
  <si>
    <t>P0860</t>
  </si>
  <si>
    <t>P0861</t>
  </si>
  <si>
    <t>P0862</t>
  </si>
  <si>
    <t>P0863</t>
  </si>
  <si>
    <t>P0864</t>
  </si>
  <si>
    <t>P0865</t>
  </si>
  <si>
    <t>P0866</t>
  </si>
  <si>
    <t>P0867</t>
  </si>
  <si>
    <t>P0868</t>
  </si>
  <si>
    <t>P0869</t>
  </si>
  <si>
    <t>P0870</t>
  </si>
  <si>
    <t>P0871</t>
  </si>
  <si>
    <t>P0872</t>
  </si>
  <si>
    <t>P0873</t>
  </si>
  <si>
    <t>P0874</t>
  </si>
  <si>
    <t>P0875</t>
  </si>
  <si>
    <t>P0876</t>
  </si>
  <si>
    <t>P0877</t>
  </si>
  <si>
    <t>P0878</t>
  </si>
  <si>
    <t>P0879</t>
  </si>
  <si>
    <t>P0880</t>
  </si>
  <si>
    <t>P0881</t>
  </si>
  <si>
    <t>P0882</t>
  </si>
  <si>
    <t>P0883</t>
  </si>
  <si>
    <t>P0884</t>
  </si>
  <si>
    <t>P0885</t>
  </si>
  <si>
    <t>P0886</t>
  </si>
  <si>
    <t>P0887</t>
  </si>
  <si>
    <t>P0888</t>
  </si>
  <si>
    <t>P0889</t>
  </si>
  <si>
    <t>P0890</t>
  </si>
  <si>
    <t>P0891</t>
  </si>
  <si>
    <t>P0892</t>
  </si>
  <si>
    <t>P0893</t>
  </si>
  <si>
    <t>P0894</t>
  </si>
  <si>
    <t>P0895</t>
  </si>
  <si>
    <t>P0896</t>
  </si>
  <si>
    <t>P0897</t>
  </si>
  <si>
    <t>P0898</t>
  </si>
  <si>
    <t>P0899</t>
  </si>
  <si>
    <t>P0900</t>
  </si>
  <si>
    <t>P0901</t>
  </si>
  <si>
    <t>P0902</t>
  </si>
  <si>
    <t>P0903</t>
  </si>
  <si>
    <t>P0904</t>
  </si>
  <si>
    <t>P0905</t>
  </si>
  <si>
    <t>P0906</t>
  </si>
  <si>
    <t>P0907</t>
  </si>
  <si>
    <t>P0908</t>
  </si>
  <si>
    <t>P0909</t>
  </si>
  <si>
    <t>P0910</t>
  </si>
  <si>
    <t>P0911</t>
  </si>
  <si>
    <t>P0912</t>
  </si>
  <si>
    <t>P0913</t>
  </si>
  <si>
    <t>P0914</t>
  </si>
  <si>
    <t>P0915</t>
  </si>
  <si>
    <t>P0916</t>
  </si>
  <si>
    <t>P0917</t>
  </si>
  <si>
    <t>P0918</t>
  </si>
  <si>
    <t>P0919</t>
  </si>
  <si>
    <t>P0920</t>
  </si>
  <si>
    <t>P0921</t>
  </si>
  <si>
    <t>P0922</t>
  </si>
  <si>
    <t>P0923</t>
  </si>
  <si>
    <t>P0924</t>
  </si>
  <si>
    <t>P0925</t>
  </si>
  <si>
    <t>P0926</t>
  </si>
  <si>
    <t>P0927</t>
  </si>
  <si>
    <t>P0928</t>
  </si>
  <si>
    <t>P0929</t>
  </si>
  <si>
    <t>P0930</t>
  </si>
  <si>
    <t>P0931</t>
  </si>
  <si>
    <t>P0932</t>
  </si>
  <si>
    <t>P0933</t>
  </si>
  <si>
    <t>P0934</t>
  </si>
  <si>
    <t>P0935</t>
  </si>
  <si>
    <t>P0936</t>
  </si>
  <si>
    <t>P0937</t>
  </si>
  <si>
    <t>P0938</t>
  </si>
  <si>
    <t>P0939</t>
  </si>
  <si>
    <t>P0940</t>
  </si>
  <si>
    <t>P0941</t>
  </si>
  <si>
    <t>P0942</t>
  </si>
  <si>
    <t>P0943</t>
  </si>
  <si>
    <t>P0944</t>
  </si>
  <si>
    <t>P0945</t>
  </si>
  <si>
    <t>P0946</t>
  </si>
  <si>
    <t>P0947</t>
  </si>
  <si>
    <t>P0948</t>
  </si>
  <si>
    <t>P0949</t>
  </si>
  <si>
    <t>P0950</t>
  </si>
  <si>
    <t>P0951</t>
  </si>
  <si>
    <t>P0952</t>
  </si>
  <si>
    <t>P0953</t>
  </si>
  <si>
    <t>P0954</t>
  </si>
  <si>
    <t>P0955</t>
  </si>
  <si>
    <t>P0956</t>
  </si>
  <si>
    <t>P0957</t>
  </si>
  <si>
    <t>P0958</t>
  </si>
  <si>
    <t>P0959</t>
  </si>
  <si>
    <t>P0960</t>
  </si>
  <si>
    <t>P0961</t>
  </si>
  <si>
    <t>P0962</t>
  </si>
  <si>
    <t>P0963</t>
  </si>
  <si>
    <t>P0964</t>
  </si>
  <si>
    <t>P0965</t>
  </si>
  <si>
    <t>P0966</t>
  </si>
  <si>
    <t>P0967</t>
  </si>
  <si>
    <t>P0968</t>
  </si>
  <si>
    <t>P0969</t>
  </si>
  <si>
    <t>P0970</t>
  </si>
  <si>
    <t>P0971</t>
  </si>
  <si>
    <t>P0972</t>
  </si>
  <si>
    <t>P0973</t>
  </si>
  <si>
    <t>P0974</t>
  </si>
  <si>
    <t>P0975</t>
  </si>
  <si>
    <t>P0976</t>
  </si>
  <si>
    <t>P0977</t>
  </si>
  <si>
    <t>P0978</t>
  </si>
  <si>
    <t>P0979</t>
  </si>
  <si>
    <t>P0980</t>
  </si>
  <si>
    <t>P0981</t>
  </si>
  <si>
    <t>P0982</t>
  </si>
  <si>
    <t>P0983</t>
  </si>
  <si>
    <t>P0984</t>
  </si>
  <si>
    <t>P0985</t>
  </si>
  <si>
    <t>P0986</t>
  </si>
  <si>
    <t>P0987</t>
  </si>
  <si>
    <t>P0988</t>
  </si>
  <si>
    <t>P0989</t>
  </si>
  <si>
    <t>P0990</t>
  </si>
  <si>
    <t>P0991</t>
  </si>
  <si>
    <t>P0992</t>
  </si>
  <si>
    <t>P0993</t>
  </si>
  <si>
    <t>P0994</t>
  </si>
  <si>
    <t>P0995</t>
  </si>
  <si>
    <t>P0996</t>
  </si>
  <si>
    <t>P0997</t>
  </si>
  <si>
    <t>P0998</t>
  </si>
  <si>
    <t>P0999</t>
  </si>
  <si>
    <t>P1000</t>
  </si>
  <si>
    <t>Row Labels</t>
  </si>
  <si>
    <t>Grand Total</t>
  </si>
  <si>
    <t>Sum of Treatment_Cost</t>
  </si>
  <si>
    <t>Sum of Patients_Refused</t>
  </si>
  <si>
    <t>Count of Patient_ID</t>
  </si>
  <si>
    <t>Average of Treatment_Cost</t>
  </si>
  <si>
    <t>Average of Patient_Satisfaction</t>
  </si>
  <si>
    <t>Dashboard Requirements</t>
  </si>
  <si>
    <t>✔ Department-wise KPIs</t>
  </si>
  <si>
    <t>Total Patients</t>
  </si>
  <si>
    <t>Avg Treatment Cost</t>
  </si>
  <si>
    <t>Avg Patient Satisfaction</t>
  </si>
  <si>
    <t>Total Patients Refused</t>
  </si>
  <si>
    <t>✔ Interactive Slicers</t>
  </si>
  <si>
    <t>Visit Year</t>
  </si>
  <si>
    <t>✔ Visuals</t>
  </si>
  <si>
    <r>
      <t>1. Monthly Patients Trend</t>
    </r>
    <r>
      <rPr>
        <sz val="11"/>
        <color theme="1"/>
        <rFont val="Century Gothic"/>
        <family val="2"/>
        <scheme val="minor"/>
      </rPr>
      <t xml:space="preserve"> – Line Chart</t>
    </r>
  </si>
  <si>
    <r>
      <t>2. Department-wise Treatment Cost</t>
    </r>
    <r>
      <rPr>
        <sz val="11"/>
        <color theme="1"/>
        <rFont val="Century Gothic"/>
        <family val="2"/>
        <scheme val="minor"/>
      </rPr>
      <t xml:space="preserve"> – Column Chart</t>
    </r>
  </si>
  <si>
    <r>
      <t>3. Patient Satisfaction Distribution</t>
    </r>
    <r>
      <rPr>
        <sz val="11"/>
        <color theme="1"/>
        <rFont val="Century Gothic"/>
        <family val="2"/>
        <scheme val="minor"/>
      </rPr>
      <t xml:space="preserve"> – Histogram</t>
    </r>
  </si>
  <si>
    <r>
      <t>4. Refused Patients by Department</t>
    </r>
    <r>
      <rPr>
        <sz val="11"/>
        <color theme="1"/>
        <rFont val="Century Gothic"/>
        <family val="2"/>
        <scheme val="minor"/>
      </rPr>
      <t xml:space="preserve"> – Bar Chart</t>
    </r>
  </si>
  <si>
    <r>
      <t>5. Average Satisfaction vs Treatment Cost</t>
    </r>
    <r>
      <rPr>
        <sz val="11"/>
        <color theme="1"/>
        <rFont val="Century Gothic"/>
        <family val="2"/>
        <scheme val="minor"/>
      </rPr>
      <t xml:space="preserve"> – Scatter Plot</t>
    </r>
  </si>
  <si>
    <r>
      <t>6. Gender Breakdown</t>
    </r>
    <r>
      <rPr>
        <sz val="11"/>
        <color theme="1"/>
        <rFont val="Century Gothic"/>
        <family val="2"/>
        <scheme val="minor"/>
      </rPr>
      <t xml:space="preserve"> – Pie Chart</t>
    </r>
  </si>
  <si>
    <t>✔ Add Conditional Formatting</t>
  </si>
  <si>
    <t>Highlight satisfaction &lt; 60</t>
  </si>
  <si>
    <t>Highlight treatment cost &gt; 30,000</t>
  </si>
  <si>
    <t>Highlight refused &gt; 2</t>
  </si>
  <si>
    <t>values for display</t>
  </si>
  <si>
    <t>Total_patients</t>
  </si>
  <si>
    <t>Avg_Treatment_cost</t>
  </si>
  <si>
    <t>Avg_Patient_satisfication</t>
  </si>
  <si>
    <t>Total_Patients_Refused</t>
  </si>
  <si>
    <t>Jan</t>
  </si>
  <si>
    <t>Feb</t>
  </si>
  <si>
    <t>Mar</t>
  </si>
  <si>
    <t>Apr</t>
  </si>
  <si>
    <t>May</t>
  </si>
  <si>
    <t>Jun</t>
  </si>
  <si>
    <t>Jul</t>
  </si>
  <si>
    <t>Aug</t>
  </si>
  <si>
    <t>Sep</t>
  </si>
  <si>
    <t>Oct</t>
  </si>
  <si>
    <t>Nov</t>
  </si>
  <si>
    <t>Dec</t>
  </si>
  <si>
    <t/>
  </si>
  <si>
    <t>Treatment Cost</t>
  </si>
  <si>
    <t xml:space="preserve"> Average Satisfaction</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</si>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</sst>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quot;₹&quot;\ #,##0.00"/>
    <numFmt numFmtId="174" formatCode="&quot;₹&quot;\ #,##0"/>
  </numFmts>
  <fonts count="4" x14ac:knownFonts="1">
    <font>
      <sz val="11"/>
      <color theme="1"/>
      <name val="Century Gothic"/>
      <family val="2"/>
      <scheme val="minor"/>
    </font>
    <font>
      <b/>
      <sz val="11"/>
      <color theme="1"/>
      <name val="Century Gothic"/>
      <family val="2"/>
      <scheme val="minor"/>
    </font>
    <font>
      <b/>
      <sz val="11"/>
      <color theme="1"/>
      <name val="Century Gothic"/>
      <family val="1"/>
      <scheme val="major"/>
    </font>
    <font>
      <b/>
      <sz val="13.5"/>
      <color theme="1"/>
      <name val="Century Gothic"/>
      <family val="2"/>
      <scheme val="minor"/>
    </font>
  </fonts>
  <fills count="5">
    <fill>
      <patternFill patternType="none"/>
    </fill>
    <fill>
      <patternFill patternType="gray125"/>
    </fill>
    <fill>
      <patternFill patternType="solid">
        <fgColor rgb="FF92D050"/>
        <bgColor indexed="64"/>
      </patternFill>
    </fill>
    <fill>
      <patternFill patternType="solid">
        <fgColor theme="4" tint="0.79998168889431442"/>
        <bgColor theme="4" tint="0.79998168889431442"/>
      </patternFill>
    </fill>
    <fill>
      <patternFill patternType="solid">
        <fgColor theme="0" tint="-0.14999847407452621"/>
        <bgColor theme="0" tint="-0.14999847407452621"/>
      </patternFill>
    </fill>
  </fills>
  <borders count="3">
    <border>
      <left/>
      <right/>
      <top/>
      <bottom/>
      <diagonal/>
    </border>
    <border>
      <left/>
      <right/>
      <top style="thin">
        <color theme="4" tint="0.39997558519241921"/>
      </top>
      <bottom/>
      <diagonal/>
    </border>
    <border>
      <left/>
      <right/>
      <top/>
      <bottom style="medium">
        <color theme="1"/>
      </bottom>
      <diagonal/>
    </border>
  </borders>
  <cellStyleXfs count="1">
    <xf numFmtId="0" fontId="0" fillId="0" borderId="0"/>
  </cellStyleXfs>
  <cellXfs count="22">
    <xf numFmtId="0" fontId="0" fillId="0" borderId="0" xfId="0"/>
    <xf numFmtId="14" fontId="0" fillId="0" borderId="0" xfId="0" applyNumberFormat="1"/>
    <xf numFmtId="14" fontId="2" fillId="2" borderId="0" xfId="0" applyNumberFormat="1" applyFont="1" applyFill="1"/>
    <xf numFmtId="0" fontId="0" fillId="0" borderId="0" xfId="0" pivotButton="1"/>
    <xf numFmtId="0" fontId="0" fillId="0" borderId="0" xfId="0" applyAlignment="1">
      <alignment horizontal="left"/>
    </xf>
    <xf numFmtId="0" fontId="0" fillId="0" borderId="0" xfId="0" applyNumberFormat="1"/>
    <xf numFmtId="49" fontId="2" fillId="2" borderId="0" xfId="0" applyNumberFormat="1" applyFont="1" applyFill="1"/>
    <xf numFmtId="1" fontId="2" fillId="2" borderId="0" xfId="0" applyNumberFormat="1" applyFont="1" applyFill="1"/>
    <xf numFmtId="1" fontId="0" fillId="0" borderId="0" xfId="0" applyNumberFormat="1"/>
    <xf numFmtId="49" fontId="0" fillId="0" borderId="0" xfId="0" applyNumberFormat="1"/>
    <xf numFmtId="168" fontId="2" fillId="2" borderId="0" xfId="0" applyNumberFormat="1" applyFont="1" applyFill="1"/>
    <xf numFmtId="168" fontId="0" fillId="0" borderId="0" xfId="0" applyNumberFormat="1"/>
    <xf numFmtId="0" fontId="0" fillId="0" borderId="0" xfId="0" applyAlignment="1">
      <alignment horizontal="left" vertical="center" indent="1"/>
    </xf>
    <xf numFmtId="0" fontId="1" fillId="0" borderId="0" xfId="0" applyFont="1" applyAlignment="1">
      <alignment horizontal="left" vertical="center" indent="1"/>
    </xf>
    <xf numFmtId="0" fontId="3" fillId="2" borderId="0" xfId="0" applyFont="1" applyFill="1" applyAlignment="1">
      <alignment vertical="center"/>
    </xf>
    <xf numFmtId="0" fontId="0" fillId="2" borderId="0" xfId="0" applyFill="1"/>
    <xf numFmtId="174" fontId="0" fillId="0" borderId="0" xfId="0" applyNumberFormat="1"/>
    <xf numFmtId="168" fontId="0" fillId="0" borderId="0" xfId="0" applyNumberFormat="1" applyAlignment="1">
      <alignment horizontal="left"/>
    </xf>
    <xf numFmtId="174" fontId="1" fillId="3" borderId="1" xfId="0" applyNumberFormat="1" applyFont="1" applyFill="1" applyBorder="1"/>
    <xf numFmtId="174" fontId="0" fillId="4" borderId="0" xfId="0" applyNumberFormat="1" applyFont="1" applyFill="1"/>
    <xf numFmtId="174" fontId="0" fillId="0" borderId="0" xfId="0" applyNumberFormat="1" applyFont="1"/>
    <xf numFmtId="174" fontId="0" fillId="0" borderId="2" xfId="0" applyNumberFormat="1" applyFont="1" applyBorder="1"/>
  </cellXfs>
  <cellStyles count="1">
    <cellStyle name="Normal" xfId="0" builtinId="0"/>
  </cellStyles>
  <dxfs count="20">
    <dxf>
      <numFmt numFmtId="174" formatCode="&quot;₹&quot;\ #,##0"/>
    </dxf>
    <dxf>
      <numFmt numFmtId="174" formatCode="&quot;₹&quot;\ #,##0"/>
    </dxf>
    <dxf>
      <numFmt numFmtId="174" formatCode="&quot;₹&quot;\ #,##0"/>
    </dxf>
    <dxf>
      <numFmt numFmtId="174" formatCode="&quot;₹&quot;\ #,##0"/>
    </dxf>
    <dxf>
      <numFmt numFmtId="174" formatCode="&quot;₹&quot;\ #,##0"/>
    </dxf>
    <dxf>
      <numFmt numFmtId="174" formatCode="&quot;₹&quot;\ #,##0"/>
    </dxf>
    <dxf>
      <numFmt numFmtId="174" formatCode="&quot;₹&quot;\ #,##0"/>
    </dxf>
    <dxf>
      <numFmt numFmtId="174" formatCode="&quot;₹&quot;\ #,##0"/>
    </dxf>
    <dxf>
      <numFmt numFmtId="174" formatCode="&quot;₹&quot;\ #,##0"/>
    </dxf>
    <dxf>
      <numFmt numFmtId="174" formatCode="&quot;₹&quot;\ #,##0"/>
    </dxf>
    <dxf>
      <numFmt numFmtId="19" formatCode="dd/mm/yyyy"/>
    </dxf>
    <dxf>
      <numFmt numFmtId="1" formatCode="0"/>
    </dxf>
    <dxf>
      <numFmt numFmtId="1" formatCode="0"/>
    </dxf>
    <dxf>
      <numFmt numFmtId="168" formatCode="&quot;₹&quot;\ #,##0.00"/>
    </dxf>
    <dxf>
      <numFmt numFmtId="30" formatCode="@"/>
    </dxf>
    <dxf>
      <numFmt numFmtId="19" formatCode="dd/mm/yyyy"/>
    </dxf>
    <dxf>
      <numFmt numFmtId="30" formatCode="@"/>
    </dxf>
    <dxf>
      <numFmt numFmtId="30" formatCode="@"/>
    </dxf>
    <dxf>
      <numFmt numFmtId="1" formatCode="0"/>
    </dxf>
    <dxf>
      <font>
        <b/>
        <i val="0"/>
        <strike val="0"/>
        <condense val="0"/>
        <extend val="0"/>
        <outline val="0"/>
        <shadow val="0"/>
        <u val="none"/>
        <vertAlign val="baseline"/>
        <sz val="11"/>
        <color theme="1"/>
        <name val="Century Gothic"/>
        <family val="1"/>
        <scheme val="major"/>
      </font>
      <fill>
        <patternFill patternType="solid">
          <fgColor indexed="64"/>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[Healthcare_Patients_DB.xlsx]pivots!PivotTable6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200" b="1">
                <a:latin typeface="Times New Roman" panose="02020603050405020304" pitchFamily="18" charset="0"/>
                <a:cs typeface="Times New Roman" panose="02020603050405020304" pitchFamily="18" charset="0"/>
              </a:rPr>
              <a:t>Monthly Patients Trend</a:t>
            </a:r>
            <a:endParaRPr lang="en-US" b="1">
              <a:latin typeface="Times New Roman" panose="02020603050405020304" pitchFamily="18" charset="0"/>
              <a:cs typeface="Times New Roman" panose="02020603050405020304" pitchFamily="18" charset="0"/>
            </a:endParaRPr>
          </a:p>
        </c:rich>
      </c:tx>
      <c:layout>
        <c:manualLayout>
          <c:xMode val="edge"/>
          <c:yMode val="edge"/>
          <c:x val="0.27130404463040447"/>
          <c:y val="3.4843205574912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96071777638674"/>
          <c:y val="0.18635307781649249"/>
          <c:w val="0.8621717787368629"/>
          <c:h val="0.6498939156995619"/>
        </c:manualLayout>
      </c:layout>
      <c:lineChart>
        <c:grouping val="standard"/>
        <c:varyColors val="0"/>
        <c:ser>
          <c:idx val="0"/>
          <c:order val="0"/>
          <c:tx>
            <c:strRef>
              <c:f>pivots!$B$7</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pivots!$B$8:$B$20</c:f>
              <c:numCache>
                <c:formatCode>General</c:formatCode>
                <c:ptCount val="12"/>
                <c:pt idx="0">
                  <c:v>89</c:v>
                </c:pt>
                <c:pt idx="1">
                  <c:v>85</c:v>
                </c:pt>
                <c:pt idx="2">
                  <c:v>74</c:v>
                </c:pt>
                <c:pt idx="3">
                  <c:v>91</c:v>
                </c:pt>
                <c:pt idx="4">
                  <c:v>83</c:v>
                </c:pt>
                <c:pt idx="5">
                  <c:v>90</c:v>
                </c:pt>
                <c:pt idx="6">
                  <c:v>90</c:v>
                </c:pt>
                <c:pt idx="7">
                  <c:v>83</c:v>
                </c:pt>
                <c:pt idx="8">
                  <c:v>91</c:v>
                </c:pt>
                <c:pt idx="9">
                  <c:v>85</c:v>
                </c:pt>
                <c:pt idx="10">
                  <c:v>90</c:v>
                </c:pt>
                <c:pt idx="11">
                  <c:v>49</c:v>
                </c:pt>
              </c:numCache>
            </c:numRef>
          </c:val>
          <c:smooth val="0"/>
          <c:extLst>
            <c:ext xmlns:c16="http://schemas.microsoft.com/office/drawing/2014/chart" uri="{C3380CC4-5D6E-409C-BE32-E72D297353CC}">
              <c16:uniqueId val="{00000000-4656-4410-B21B-B3B33ACF5F04}"/>
            </c:ext>
          </c:extLst>
        </c:ser>
        <c:dLbls>
          <c:showLegendKey val="0"/>
          <c:showVal val="0"/>
          <c:showCatName val="0"/>
          <c:showSerName val="0"/>
          <c:showPercent val="0"/>
          <c:showBubbleSize val="0"/>
        </c:dLbls>
        <c:marker val="1"/>
        <c:smooth val="0"/>
        <c:axId val="237991615"/>
        <c:axId val="1502732895"/>
      </c:lineChart>
      <c:catAx>
        <c:axId val="237991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732895"/>
        <c:crosses val="autoZero"/>
        <c:auto val="1"/>
        <c:lblAlgn val="ctr"/>
        <c:lblOffset val="100"/>
        <c:noMultiLvlLbl val="0"/>
      </c:catAx>
      <c:valAx>
        <c:axId val="1502732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99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[Healthcare_Patients_DB.xlsx]pivots!PivotTable7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Times New Roman" panose="02020603050405020304" pitchFamily="18" charset="0"/>
                <a:cs typeface="Times New Roman" panose="02020603050405020304" pitchFamily="18" charset="0"/>
              </a:rPr>
              <a:t>Department-wise Treatment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pivots!$B$22</c:f>
              <c:strCache>
                <c:ptCount val="1"/>
                <c:pt idx="0">
                  <c:v>Total</c:v>
                </c:pt>
              </c:strCache>
            </c:strRef>
          </c:tx>
          <c:spPr>
            <a:solidFill>
              <a:schemeClr val="accent3"/>
            </a:solidFill>
            <a:ln>
              <a:noFill/>
            </a:ln>
            <a:effectLst/>
          </c:spPr>
          <c:invertIfNegative val="0"/>
          <c:cat>
            <c:strRef>
              <c:f>pivots!$A$23:$A$29</c:f>
              <c:strCache>
                <c:ptCount val="6"/>
                <c:pt idx="0">
                  <c:v>Cardiology</c:v>
                </c:pt>
                <c:pt idx="1">
                  <c:v>Dermatology</c:v>
                </c:pt>
                <c:pt idx="2">
                  <c:v>Gynecology</c:v>
                </c:pt>
                <c:pt idx="3">
                  <c:v>Neurology</c:v>
                </c:pt>
                <c:pt idx="4">
                  <c:v>Orthopedics</c:v>
                </c:pt>
                <c:pt idx="5">
                  <c:v>Pediatrics</c:v>
                </c:pt>
              </c:strCache>
            </c:strRef>
          </c:cat>
          <c:val>
            <c:numRef>
              <c:f>pivots!$B$23:$B$29</c:f>
              <c:numCache>
                <c:formatCode>"₹"\ #,##0</c:formatCode>
                <c:ptCount val="6"/>
                <c:pt idx="0">
                  <c:v>4395196</c:v>
                </c:pt>
                <c:pt idx="1">
                  <c:v>4073237</c:v>
                </c:pt>
                <c:pt idx="2">
                  <c:v>3890654</c:v>
                </c:pt>
                <c:pt idx="3">
                  <c:v>4201015</c:v>
                </c:pt>
                <c:pt idx="4">
                  <c:v>4470811</c:v>
                </c:pt>
                <c:pt idx="5">
                  <c:v>3922059</c:v>
                </c:pt>
              </c:numCache>
            </c:numRef>
          </c:val>
          <c:extLst>
            <c:ext xmlns:c16="http://schemas.microsoft.com/office/drawing/2014/chart" uri="{C3380CC4-5D6E-409C-BE32-E72D297353CC}">
              <c16:uniqueId val="{00000000-17D8-4933-9E52-9ED8D6FC073E}"/>
            </c:ext>
          </c:extLst>
        </c:ser>
        <c:dLbls>
          <c:showLegendKey val="0"/>
          <c:showVal val="0"/>
          <c:showCatName val="0"/>
          <c:showSerName val="0"/>
          <c:showPercent val="0"/>
          <c:showBubbleSize val="0"/>
        </c:dLbls>
        <c:gapWidth val="219"/>
        <c:overlap val="-27"/>
        <c:axId val="1348781999"/>
        <c:axId val="2067781999"/>
      </c:barChart>
      <c:catAx>
        <c:axId val="134878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781999"/>
        <c:crosses val="autoZero"/>
        <c:auto val="1"/>
        <c:lblAlgn val="ctr"/>
        <c:lblOffset val="100"/>
        <c:noMultiLvlLbl val="0"/>
      </c:catAx>
      <c:valAx>
        <c:axId val="20677819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78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[Healthcare_Patients_DB.xlsx]pivots!PivotTable8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Times New Roman" panose="02020603050405020304" pitchFamily="18" charset="0"/>
                <a:cs typeface="Times New Roman" panose="02020603050405020304" pitchFamily="18" charset="0"/>
              </a:rPr>
              <a:t>Refused Patients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pivots!$B$31</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pivots!$A$32:$A$38</c:f>
              <c:strCache>
                <c:ptCount val="6"/>
                <c:pt idx="0">
                  <c:v>Cardiology</c:v>
                </c:pt>
                <c:pt idx="1">
                  <c:v>Dermatology</c:v>
                </c:pt>
                <c:pt idx="2">
                  <c:v>Gynecology</c:v>
                </c:pt>
                <c:pt idx="3">
                  <c:v>Neurology</c:v>
                </c:pt>
                <c:pt idx="4">
                  <c:v>Orthopedics</c:v>
                </c:pt>
                <c:pt idx="5">
                  <c:v>Pediatrics</c:v>
                </c:pt>
              </c:strCache>
            </c:strRef>
          </c:cat>
          <c:val>
            <c:numRef>
              <c:f>pivots!$B$32:$B$38</c:f>
              <c:numCache>
                <c:formatCode>0</c:formatCode>
                <c:ptCount val="6"/>
                <c:pt idx="0">
                  <c:v>454</c:v>
                </c:pt>
                <c:pt idx="1">
                  <c:v>415</c:v>
                </c:pt>
                <c:pt idx="2">
                  <c:v>400</c:v>
                </c:pt>
                <c:pt idx="3">
                  <c:v>375</c:v>
                </c:pt>
                <c:pt idx="4">
                  <c:v>442</c:v>
                </c:pt>
                <c:pt idx="5">
                  <c:v>397</c:v>
                </c:pt>
              </c:numCache>
            </c:numRef>
          </c:val>
          <c:extLst>
            <c:ext xmlns:c16="http://schemas.microsoft.com/office/drawing/2014/chart" uri="{C3380CC4-5D6E-409C-BE32-E72D297353CC}">
              <c16:uniqueId val="{00000000-6ADB-4B44-A8D6-C1C8CBF3C36F}"/>
            </c:ext>
          </c:extLst>
        </c:ser>
        <c:dLbls>
          <c:dLblPos val="outEnd"/>
          <c:showLegendKey val="0"/>
          <c:showVal val="1"/>
          <c:showCatName val="0"/>
          <c:showSerName val="0"/>
          <c:showPercent val="0"/>
          <c:showBubbleSize val="0"/>
        </c:dLbls>
        <c:gapWidth val="182"/>
        <c:axId val="2067780559"/>
        <c:axId val="2067781039"/>
      </c:barChart>
      <c:catAx>
        <c:axId val="2067780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781039"/>
        <c:crosses val="autoZero"/>
        <c:auto val="1"/>
        <c:lblAlgn val="ctr"/>
        <c:lblOffset val="100"/>
        <c:noMultiLvlLbl val="0"/>
      </c:catAx>
      <c:valAx>
        <c:axId val="20677810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78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200" b="1">
                <a:latin typeface="Times New Roman" panose="02020603050405020304" pitchFamily="18" charset="0"/>
                <a:cs typeface="Times New Roman" panose="02020603050405020304" pitchFamily="18" charset="0"/>
              </a:rPr>
              <a:t>Average Satisfaction vs Treatment Cost</a:t>
            </a:r>
            <a:endParaRPr lang="en-US" b="1">
              <a:latin typeface="Times New Roman" panose="02020603050405020304" pitchFamily="18" charset="0"/>
              <a:cs typeface="Times New Roman" panose="02020603050405020304" pitchFamily="18" charset="0"/>
            </a:endParaRPr>
          </a:p>
        </c:rich>
      </c:tx>
      <c:layout>
        <c:manualLayout>
          <c:xMode val="edge"/>
          <c:yMode val="edge"/>
          <c:x val="0.13727555760550852"/>
          <c:y val="3.5129593175853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Values!$B$1</c:f>
              <c:strCache>
                <c:ptCount val="1"/>
                <c:pt idx="0">
                  <c:v> Average Satisfaction</c:v>
                </c:pt>
              </c:strCache>
            </c:strRef>
          </c:tx>
          <c:spPr>
            <a:ln w="28575" cap="rnd">
              <a:noFill/>
              <a:round/>
            </a:ln>
            <a:effectLst/>
          </c:spPr>
          <c:marker>
            <c:symbol val="circle"/>
            <c:size val="5"/>
            <c:spPr>
              <a:solidFill>
                <a:schemeClr val="accent3"/>
              </a:solidFill>
              <a:ln w="9525">
                <a:solidFill>
                  <a:schemeClr val="accent3"/>
                </a:solidFill>
              </a:ln>
              <a:effectLst/>
            </c:spPr>
          </c:marker>
          <c:xVal>
            <c:numRef>
              <c:f>Values!$A$2:$A$1001</c:f>
              <c:numCache>
                <c:formatCode>"₹"\ #,##0</c:formatCode>
                <c:ptCount val="1000"/>
                <c:pt idx="0">
                  <c:v>25256</c:v>
                </c:pt>
                <c:pt idx="1">
                  <c:v>5622</c:v>
                </c:pt>
                <c:pt idx="2">
                  <c:v>33833</c:v>
                </c:pt>
                <c:pt idx="3">
                  <c:v>49160</c:v>
                </c:pt>
                <c:pt idx="4">
                  <c:v>38769</c:v>
                </c:pt>
                <c:pt idx="5">
                  <c:v>9538</c:v>
                </c:pt>
                <c:pt idx="6">
                  <c:v>29462</c:v>
                </c:pt>
                <c:pt idx="7">
                  <c:v>11169</c:v>
                </c:pt>
                <c:pt idx="8">
                  <c:v>22683</c:v>
                </c:pt>
                <c:pt idx="9">
                  <c:v>41591</c:v>
                </c:pt>
                <c:pt idx="10">
                  <c:v>37325</c:v>
                </c:pt>
                <c:pt idx="11">
                  <c:v>40322</c:v>
                </c:pt>
                <c:pt idx="12">
                  <c:v>1585</c:v>
                </c:pt>
                <c:pt idx="13">
                  <c:v>32794</c:v>
                </c:pt>
                <c:pt idx="14">
                  <c:v>41946</c:v>
                </c:pt>
                <c:pt idx="15">
                  <c:v>44034</c:v>
                </c:pt>
                <c:pt idx="16">
                  <c:v>35890</c:v>
                </c:pt>
                <c:pt idx="17">
                  <c:v>20761</c:v>
                </c:pt>
                <c:pt idx="18">
                  <c:v>34314</c:v>
                </c:pt>
                <c:pt idx="19">
                  <c:v>5816</c:v>
                </c:pt>
                <c:pt idx="20">
                  <c:v>47186</c:v>
                </c:pt>
                <c:pt idx="21">
                  <c:v>24442</c:v>
                </c:pt>
                <c:pt idx="22">
                  <c:v>46904</c:v>
                </c:pt>
                <c:pt idx="23">
                  <c:v>5130</c:v>
                </c:pt>
                <c:pt idx="24">
                  <c:v>15779</c:v>
                </c:pt>
                <c:pt idx="25">
                  <c:v>8113</c:v>
                </c:pt>
                <c:pt idx="26">
                  <c:v>27383</c:v>
                </c:pt>
                <c:pt idx="27">
                  <c:v>49266</c:v>
                </c:pt>
                <c:pt idx="28">
                  <c:v>36801</c:v>
                </c:pt>
                <c:pt idx="29">
                  <c:v>49814</c:v>
                </c:pt>
                <c:pt idx="30">
                  <c:v>14261</c:v>
                </c:pt>
                <c:pt idx="31">
                  <c:v>24304</c:v>
                </c:pt>
                <c:pt idx="32">
                  <c:v>22279</c:v>
                </c:pt>
                <c:pt idx="33">
                  <c:v>9985</c:v>
                </c:pt>
                <c:pt idx="34">
                  <c:v>38631</c:v>
                </c:pt>
                <c:pt idx="35">
                  <c:v>35971</c:v>
                </c:pt>
                <c:pt idx="36">
                  <c:v>11405</c:v>
                </c:pt>
                <c:pt idx="37">
                  <c:v>1819</c:v>
                </c:pt>
                <c:pt idx="38">
                  <c:v>16478</c:v>
                </c:pt>
                <c:pt idx="39">
                  <c:v>40281</c:v>
                </c:pt>
                <c:pt idx="40">
                  <c:v>38918</c:v>
                </c:pt>
                <c:pt idx="41">
                  <c:v>2914</c:v>
                </c:pt>
                <c:pt idx="42">
                  <c:v>27796</c:v>
                </c:pt>
                <c:pt idx="43">
                  <c:v>40231</c:v>
                </c:pt>
                <c:pt idx="44">
                  <c:v>13127</c:v>
                </c:pt>
                <c:pt idx="45">
                  <c:v>3771</c:v>
                </c:pt>
                <c:pt idx="46">
                  <c:v>3105</c:v>
                </c:pt>
                <c:pt idx="47">
                  <c:v>34411</c:v>
                </c:pt>
                <c:pt idx="48">
                  <c:v>20554</c:v>
                </c:pt>
                <c:pt idx="49">
                  <c:v>13428</c:v>
                </c:pt>
                <c:pt idx="50">
                  <c:v>34191</c:v>
                </c:pt>
                <c:pt idx="51">
                  <c:v>13781</c:v>
                </c:pt>
                <c:pt idx="52">
                  <c:v>28066</c:v>
                </c:pt>
                <c:pt idx="53">
                  <c:v>23554</c:v>
                </c:pt>
                <c:pt idx="54">
                  <c:v>44740</c:v>
                </c:pt>
                <c:pt idx="55">
                  <c:v>1200</c:v>
                </c:pt>
                <c:pt idx="56">
                  <c:v>41781</c:v>
                </c:pt>
                <c:pt idx="57">
                  <c:v>49234</c:v>
                </c:pt>
                <c:pt idx="58">
                  <c:v>45845</c:v>
                </c:pt>
                <c:pt idx="59">
                  <c:v>11201</c:v>
                </c:pt>
                <c:pt idx="60">
                  <c:v>41165</c:v>
                </c:pt>
                <c:pt idx="61">
                  <c:v>35207</c:v>
                </c:pt>
                <c:pt idx="62">
                  <c:v>3670</c:v>
                </c:pt>
                <c:pt idx="63">
                  <c:v>28055</c:v>
                </c:pt>
                <c:pt idx="64">
                  <c:v>41914</c:v>
                </c:pt>
                <c:pt idx="65">
                  <c:v>10240</c:v>
                </c:pt>
                <c:pt idx="66">
                  <c:v>40255</c:v>
                </c:pt>
                <c:pt idx="67">
                  <c:v>31040</c:v>
                </c:pt>
                <c:pt idx="68">
                  <c:v>6841</c:v>
                </c:pt>
                <c:pt idx="69">
                  <c:v>28794</c:v>
                </c:pt>
                <c:pt idx="70">
                  <c:v>34770</c:v>
                </c:pt>
                <c:pt idx="71">
                  <c:v>46175</c:v>
                </c:pt>
                <c:pt idx="72">
                  <c:v>20280</c:v>
                </c:pt>
                <c:pt idx="73">
                  <c:v>4850</c:v>
                </c:pt>
                <c:pt idx="74">
                  <c:v>41924</c:v>
                </c:pt>
                <c:pt idx="75">
                  <c:v>48016</c:v>
                </c:pt>
                <c:pt idx="76">
                  <c:v>2327</c:v>
                </c:pt>
                <c:pt idx="77">
                  <c:v>30512</c:v>
                </c:pt>
                <c:pt idx="78">
                  <c:v>15083</c:v>
                </c:pt>
                <c:pt idx="79">
                  <c:v>44318</c:v>
                </c:pt>
                <c:pt idx="80">
                  <c:v>40691</c:v>
                </c:pt>
                <c:pt idx="81">
                  <c:v>1282</c:v>
                </c:pt>
                <c:pt idx="82">
                  <c:v>21942</c:v>
                </c:pt>
                <c:pt idx="83">
                  <c:v>40700</c:v>
                </c:pt>
                <c:pt idx="84">
                  <c:v>23043</c:v>
                </c:pt>
                <c:pt idx="85">
                  <c:v>26714</c:v>
                </c:pt>
                <c:pt idx="86">
                  <c:v>41465</c:v>
                </c:pt>
                <c:pt idx="87">
                  <c:v>32002</c:v>
                </c:pt>
                <c:pt idx="88">
                  <c:v>37797</c:v>
                </c:pt>
                <c:pt idx="89">
                  <c:v>8654</c:v>
                </c:pt>
                <c:pt idx="90">
                  <c:v>1766</c:v>
                </c:pt>
                <c:pt idx="91">
                  <c:v>44373</c:v>
                </c:pt>
                <c:pt idx="92">
                  <c:v>38238</c:v>
                </c:pt>
                <c:pt idx="93">
                  <c:v>15801</c:v>
                </c:pt>
                <c:pt idx="94">
                  <c:v>5309</c:v>
                </c:pt>
                <c:pt idx="95">
                  <c:v>39635</c:v>
                </c:pt>
                <c:pt idx="96">
                  <c:v>33847</c:v>
                </c:pt>
                <c:pt idx="97">
                  <c:v>48610</c:v>
                </c:pt>
                <c:pt idx="98">
                  <c:v>38468</c:v>
                </c:pt>
                <c:pt idx="99">
                  <c:v>2358</c:v>
                </c:pt>
                <c:pt idx="100">
                  <c:v>46541</c:v>
                </c:pt>
                <c:pt idx="101">
                  <c:v>44018</c:v>
                </c:pt>
                <c:pt idx="102">
                  <c:v>29890</c:v>
                </c:pt>
                <c:pt idx="103">
                  <c:v>29664</c:v>
                </c:pt>
                <c:pt idx="104">
                  <c:v>3494</c:v>
                </c:pt>
                <c:pt idx="105">
                  <c:v>22376</c:v>
                </c:pt>
                <c:pt idx="106">
                  <c:v>7821</c:v>
                </c:pt>
                <c:pt idx="107">
                  <c:v>1865</c:v>
                </c:pt>
                <c:pt idx="108">
                  <c:v>9399</c:v>
                </c:pt>
                <c:pt idx="109">
                  <c:v>11310</c:v>
                </c:pt>
                <c:pt idx="110">
                  <c:v>20920</c:v>
                </c:pt>
                <c:pt idx="111">
                  <c:v>43057</c:v>
                </c:pt>
                <c:pt idx="112">
                  <c:v>26325</c:v>
                </c:pt>
                <c:pt idx="113">
                  <c:v>36192</c:v>
                </c:pt>
                <c:pt idx="114">
                  <c:v>29701</c:v>
                </c:pt>
                <c:pt idx="115">
                  <c:v>8180</c:v>
                </c:pt>
                <c:pt idx="116">
                  <c:v>33368</c:v>
                </c:pt>
                <c:pt idx="117">
                  <c:v>38416</c:v>
                </c:pt>
                <c:pt idx="118">
                  <c:v>25158</c:v>
                </c:pt>
                <c:pt idx="119">
                  <c:v>26282</c:v>
                </c:pt>
                <c:pt idx="120">
                  <c:v>33084</c:v>
                </c:pt>
                <c:pt idx="121">
                  <c:v>14724</c:v>
                </c:pt>
                <c:pt idx="122">
                  <c:v>29045</c:v>
                </c:pt>
                <c:pt idx="123">
                  <c:v>31685</c:v>
                </c:pt>
                <c:pt idx="124">
                  <c:v>2643</c:v>
                </c:pt>
                <c:pt idx="125">
                  <c:v>45940</c:v>
                </c:pt>
                <c:pt idx="126">
                  <c:v>24568</c:v>
                </c:pt>
                <c:pt idx="127">
                  <c:v>41905</c:v>
                </c:pt>
                <c:pt idx="128">
                  <c:v>41918</c:v>
                </c:pt>
                <c:pt idx="129">
                  <c:v>22901</c:v>
                </c:pt>
                <c:pt idx="130">
                  <c:v>46723</c:v>
                </c:pt>
                <c:pt idx="131">
                  <c:v>25826</c:v>
                </c:pt>
                <c:pt idx="132">
                  <c:v>11052</c:v>
                </c:pt>
                <c:pt idx="133">
                  <c:v>44649</c:v>
                </c:pt>
                <c:pt idx="134">
                  <c:v>46493</c:v>
                </c:pt>
                <c:pt idx="135">
                  <c:v>21118</c:v>
                </c:pt>
                <c:pt idx="136">
                  <c:v>28372</c:v>
                </c:pt>
                <c:pt idx="137">
                  <c:v>31172</c:v>
                </c:pt>
                <c:pt idx="138">
                  <c:v>48016</c:v>
                </c:pt>
                <c:pt idx="139">
                  <c:v>13762</c:v>
                </c:pt>
                <c:pt idx="140">
                  <c:v>15775</c:v>
                </c:pt>
                <c:pt idx="141">
                  <c:v>16759</c:v>
                </c:pt>
                <c:pt idx="142">
                  <c:v>32442</c:v>
                </c:pt>
                <c:pt idx="143">
                  <c:v>48740</c:v>
                </c:pt>
                <c:pt idx="144">
                  <c:v>49646</c:v>
                </c:pt>
                <c:pt idx="145">
                  <c:v>32669</c:v>
                </c:pt>
                <c:pt idx="146">
                  <c:v>5508</c:v>
                </c:pt>
                <c:pt idx="147">
                  <c:v>30659</c:v>
                </c:pt>
                <c:pt idx="148">
                  <c:v>43235</c:v>
                </c:pt>
                <c:pt idx="149">
                  <c:v>33055</c:v>
                </c:pt>
                <c:pt idx="150">
                  <c:v>2509</c:v>
                </c:pt>
                <c:pt idx="151">
                  <c:v>33571</c:v>
                </c:pt>
                <c:pt idx="152">
                  <c:v>31374</c:v>
                </c:pt>
                <c:pt idx="153">
                  <c:v>48081</c:v>
                </c:pt>
                <c:pt idx="154">
                  <c:v>23310</c:v>
                </c:pt>
                <c:pt idx="155">
                  <c:v>42067</c:v>
                </c:pt>
                <c:pt idx="156">
                  <c:v>30074</c:v>
                </c:pt>
                <c:pt idx="157">
                  <c:v>20465</c:v>
                </c:pt>
                <c:pt idx="158">
                  <c:v>14157</c:v>
                </c:pt>
                <c:pt idx="159">
                  <c:v>21976</c:v>
                </c:pt>
                <c:pt idx="160">
                  <c:v>18527</c:v>
                </c:pt>
                <c:pt idx="161">
                  <c:v>31145</c:v>
                </c:pt>
                <c:pt idx="162">
                  <c:v>46545</c:v>
                </c:pt>
                <c:pt idx="163">
                  <c:v>46588</c:v>
                </c:pt>
                <c:pt idx="164">
                  <c:v>43484</c:v>
                </c:pt>
                <c:pt idx="165">
                  <c:v>42412</c:v>
                </c:pt>
                <c:pt idx="166">
                  <c:v>23208</c:v>
                </c:pt>
                <c:pt idx="167">
                  <c:v>36108</c:v>
                </c:pt>
                <c:pt idx="168">
                  <c:v>11512</c:v>
                </c:pt>
                <c:pt idx="169">
                  <c:v>36694</c:v>
                </c:pt>
                <c:pt idx="170">
                  <c:v>33068</c:v>
                </c:pt>
                <c:pt idx="171">
                  <c:v>7624</c:v>
                </c:pt>
                <c:pt idx="172">
                  <c:v>44698</c:v>
                </c:pt>
                <c:pt idx="173">
                  <c:v>35296</c:v>
                </c:pt>
                <c:pt idx="174">
                  <c:v>759</c:v>
                </c:pt>
                <c:pt idx="175">
                  <c:v>6477</c:v>
                </c:pt>
                <c:pt idx="176">
                  <c:v>40953</c:v>
                </c:pt>
                <c:pt idx="177">
                  <c:v>29873</c:v>
                </c:pt>
                <c:pt idx="178">
                  <c:v>6874</c:v>
                </c:pt>
                <c:pt idx="179">
                  <c:v>4823</c:v>
                </c:pt>
                <c:pt idx="180">
                  <c:v>41947</c:v>
                </c:pt>
                <c:pt idx="181">
                  <c:v>23963</c:v>
                </c:pt>
                <c:pt idx="182">
                  <c:v>25282</c:v>
                </c:pt>
                <c:pt idx="183">
                  <c:v>23973</c:v>
                </c:pt>
                <c:pt idx="184">
                  <c:v>33970</c:v>
                </c:pt>
                <c:pt idx="185">
                  <c:v>12278</c:v>
                </c:pt>
                <c:pt idx="186">
                  <c:v>555</c:v>
                </c:pt>
                <c:pt idx="187">
                  <c:v>17968</c:v>
                </c:pt>
                <c:pt idx="188">
                  <c:v>29160</c:v>
                </c:pt>
                <c:pt idx="189">
                  <c:v>35204</c:v>
                </c:pt>
                <c:pt idx="190">
                  <c:v>23767</c:v>
                </c:pt>
                <c:pt idx="191">
                  <c:v>29413</c:v>
                </c:pt>
                <c:pt idx="192">
                  <c:v>34628</c:v>
                </c:pt>
                <c:pt idx="193">
                  <c:v>44764</c:v>
                </c:pt>
                <c:pt idx="194">
                  <c:v>48786</c:v>
                </c:pt>
                <c:pt idx="195">
                  <c:v>32174</c:v>
                </c:pt>
                <c:pt idx="196">
                  <c:v>9611</c:v>
                </c:pt>
                <c:pt idx="197">
                  <c:v>17629</c:v>
                </c:pt>
                <c:pt idx="198">
                  <c:v>45114</c:v>
                </c:pt>
                <c:pt idx="199">
                  <c:v>29890</c:v>
                </c:pt>
                <c:pt idx="200">
                  <c:v>36311</c:v>
                </c:pt>
                <c:pt idx="201">
                  <c:v>13027</c:v>
                </c:pt>
                <c:pt idx="202">
                  <c:v>3985</c:v>
                </c:pt>
                <c:pt idx="203">
                  <c:v>36396</c:v>
                </c:pt>
                <c:pt idx="204">
                  <c:v>29881</c:v>
                </c:pt>
                <c:pt idx="205">
                  <c:v>28431</c:v>
                </c:pt>
                <c:pt idx="206">
                  <c:v>30252</c:v>
                </c:pt>
                <c:pt idx="207">
                  <c:v>36369</c:v>
                </c:pt>
                <c:pt idx="208">
                  <c:v>12553</c:v>
                </c:pt>
                <c:pt idx="209">
                  <c:v>40093</c:v>
                </c:pt>
                <c:pt idx="210">
                  <c:v>48879</c:v>
                </c:pt>
                <c:pt idx="211">
                  <c:v>39615</c:v>
                </c:pt>
                <c:pt idx="212">
                  <c:v>10720</c:v>
                </c:pt>
                <c:pt idx="213">
                  <c:v>15150</c:v>
                </c:pt>
                <c:pt idx="214">
                  <c:v>4250</c:v>
                </c:pt>
                <c:pt idx="215">
                  <c:v>17793</c:v>
                </c:pt>
                <c:pt idx="216">
                  <c:v>12457</c:v>
                </c:pt>
                <c:pt idx="217">
                  <c:v>37403</c:v>
                </c:pt>
                <c:pt idx="218">
                  <c:v>6015</c:v>
                </c:pt>
                <c:pt idx="219">
                  <c:v>34473</c:v>
                </c:pt>
                <c:pt idx="220">
                  <c:v>36630</c:v>
                </c:pt>
                <c:pt idx="221">
                  <c:v>49565</c:v>
                </c:pt>
                <c:pt idx="222">
                  <c:v>12006</c:v>
                </c:pt>
                <c:pt idx="223">
                  <c:v>27986</c:v>
                </c:pt>
                <c:pt idx="224">
                  <c:v>43692</c:v>
                </c:pt>
                <c:pt idx="225">
                  <c:v>35779</c:v>
                </c:pt>
                <c:pt idx="226">
                  <c:v>29755</c:v>
                </c:pt>
                <c:pt idx="227">
                  <c:v>48032</c:v>
                </c:pt>
                <c:pt idx="228">
                  <c:v>515</c:v>
                </c:pt>
                <c:pt idx="229">
                  <c:v>33708</c:v>
                </c:pt>
                <c:pt idx="230">
                  <c:v>8991</c:v>
                </c:pt>
                <c:pt idx="231">
                  <c:v>36624</c:v>
                </c:pt>
                <c:pt idx="232">
                  <c:v>10993</c:v>
                </c:pt>
                <c:pt idx="233">
                  <c:v>22200</c:v>
                </c:pt>
                <c:pt idx="234">
                  <c:v>20582</c:v>
                </c:pt>
                <c:pt idx="235">
                  <c:v>28280</c:v>
                </c:pt>
                <c:pt idx="236">
                  <c:v>37557</c:v>
                </c:pt>
                <c:pt idx="237">
                  <c:v>7942</c:v>
                </c:pt>
                <c:pt idx="238">
                  <c:v>16575</c:v>
                </c:pt>
                <c:pt idx="239">
                  <c:v>40082</c:v>
                </c:pt>
                <c:pt idx="240">
                  <c:v>25818</c:v>
                </c:pt>
                <c:pt idx="241">
                  <c:v>17305</c:v>
                </c:pt>
                <c:pt idx="242">
                  <c:v>31786</c:v>
                </c:pt>
                <c:pt idx="243">
                  <c:v>37037</c:v>
                </c:pt>
                <c:pt idx="244">
                  <c:v>41469</c:v>
                </c:pt>
                <c:pt idx="245">
                  <c:v>31869</c:v>
                </c:pt>
                <c:pt idx="246">
                  <c:v>49797</c:v>
                </c:pt>
                <c:pt idx="247">
                  <c:v>22677</c:v>
                </c:pt>
                <c:pt idx="248">
                  <c:v>14434</c:v>
                </c:pt>
                <c:pt idx="249">
                  <c:v>39863</c:v>
                </c:pt>
                <c:pt idx="250">
                  <c:v>45155</c:v>
                </c:pt>
                <c:pt idx="251">
                  <c:v>11972</c:v>
                </c:pt>
                <c:pt idx="252">
                  <c:v>38489</c:v>
                </c:pt>
                <c:pt idx="253">
                  <c:v>34702</c:v>
                </c:pt>
                <c:pt idx="254">
                  <c:v>19863</c:v>
                </c:pt>
                <c:pt idx="255">
                  <c:v>25446</c:v>
                </c:pt>
                <c:pt idx="256">
                  <c:v>31499</c:v>
                </c:pt>
                <c:pt idx="257">
                  <c:v>19621</c:v>
                </c:pt>
                <c:pt idx="258">
                  <c:v>33459</c:v>
                </c:pt>
                <c:pt idx="259">
                  <c:v>8490</c:v>
                </c:pt>
                <c:pt idx="260">
                  <c:v>5264</c:v>
                </c:pt>
                <c:pt idx="261">
                  <c:v>10934</c:v>
                </c:pt>
                <c:pt idx="262">
                  <c:v>9701</c:v>
                </c:pt>
                <c:pt idx="263">
                  <c:v>11125</c:v>
                </c:pt>
                <c:pt idx="264">
                  <c:v>37280</c:v>
                </c:pt>
                <c:pt idx="265">
                  <c:v>7255</c:v>
                </c:pt>
                <c:pt idx="266">
                  <c:v>14910</c:v>
                </c:pt>
                <c:pt idx="267">
                  <c:v>16709</c:v>
                </c:pt>
                <c:pt idx="268">
                  <c:v>37841</c:v>
                </c:pt>
                <c:pt idx="269">
                  <c:v>15527</c:v>
                </c:pt>
                <c:pt idx="270">
                  <c:v>16520</c:v>
                </c:pt>
                <c:pt idx="271">
                  <c:v>16556</c:v>
                </c:pt>
                <c:pt idx="272">
                  <c:v>23213</c:v>
                </c:pt>
                <c:pt idx="273">
                  <c:v>47537</c:v>
                </c:pt>
                <c:pt idx="274">
                  <c:v>33416</c:v>
                </c:pt>
                <c:pt idx="275">
                  <c:v>13220</c:v>
                </c:pt>
                <c:pt idx="276">
                  <c:v>34026</c:v>
                </c:pt>
                <c:pt idx="277">
                  <c:v>19392</c:v>
                </c:pt>
                <c:pt idx="278">
                  <c:v>38563</c:v>
                </c:pt>
                <c:pt idx="279">
                  <c:v>32080</c:v>
                </c:pt>
                <c:pt idx="280">
                  <c:v>9701</c:v>
                </c:pt>
                <c:pt idx="281">
                  <c:v>31793</c:v>
                </c:pt>
                <c:pt idx="282">
                  <c:v>19326</c:v>
                </c:pt>
                <c:pt idx="283">
                  <c:v>19700</c:v>
                </c:pt>
                <c:pt idx="284">
                  <c:v>31308</c:v>
                </c:pt>
                <c:pt idx="285">
                  <c:v>48248</c:v>
                </c:pt>
                <c:pt idx="286">
                  <c:v>49597</c:v>
                </c:pt>
                <c:pt idx="287">
                  <c:v>49897</c:v>
                </c:pt>
                <c:pt idx="288">
                  <c:v>13555</c:v>
                </c:pt>
                <c:pt idx="289">
                  <c:v>18947</c:v>
                </c:pt>
                <c:pt idx="290">
                  <c:v>11899</c:v>
                </c:pt>
                <c:pt idx="291">
                  <c:v>10378</c:v>
                </c:pt>
                <c:pt idx="292">
                  <c:v>48049</c:v>
                </c:pt>
                <c:pt idx="293">
                  <c:v>19748</c:v>
                </c:pt>
                <c:pt idx="294">
                  <c:v>44524</c:v>
                </c:pt>
                <c:pt idx="295">
                  <c:v>17159</c:v>
                </c:pt>
                <c:pt idx="296">
                  <c:v>45068</c:v>
                </c:pt>
                <c:pt idx="297">
                  <c:v>16181</c:v>
                </c:pt>
                <c:pt idx="298">
                  <c:v>20127</c:v>
                </c:pt>
                <c:pt idx="299">
                  <c:v>8086</c:v>
                </c:pt>
                <c:pt idx="300">
                  <c:v>36831</c:v>
                </c:pt>
                <c:pt idx="301">
                  <c:v>27369</c:v>
                </c:pt>
                <c:pt idx="302">
                  <c:v>17723</c:v>
                </c:pt>
                <c:pt idx="303">
                  <c:v>39160</c:v>
                </c:pt>
                <c:pt idx="304">
                  <c:v>9773</c:v>
                </c:pt>
                <c:pt idx="305">
                  <c:v>28191</c:v>
                </c:pt>
                <c:pt idx="306">
                  <c:v>41258</c:v>
                </c:pt>
                <c:pt idx="307">
                  <c:v>20888</c:v>
                </c:pt>
                <c:pt idx="308">
                  <c:v>44626</c:v>
                </c:pt>
                <c:pt idx="309">
                  <c:v>48508</c:v>
                </c:pt>
                <c:pt idx="310">
                  <c:v>7551</c:v>
                </c:pt>
                <c:pt idx="311">
                  <c:v>29205</c:v>
                </c:pt>
                <c:pt idx="312">
                  <c:v>10326</c:v>
                </c:pt>
                <c:pt idx="313">
                  <c:v>38858</c:v>
                </c:pt>
                <c:pt idx="314">
                  <c:v>15058</c:v>
                </c:pt>
                <c:pt idx="315">
                  <c:v>41962</c:v>
                </c:pt>
                <c:pt idx="316">
                  <c:v>35520</c:v>
                </c:pt>
                <c:pt idx="317">
                  <c:v>27479</c:v>
                </c:pt>
                <c:pt idx="318">
                  <c:v>26139</c:v>
                </c:pt>
                <c:pt idx="319">
                  <c:v>9488</c:v>
                </c:pt>
                <c:pt idx="320">
                  <c:v>6142</c:v>
                </c:pt>
                <c:pt idx="321">
                  <c:v>2926</c:v>
                </c:pt>
                <c:pt idx="322">
                  <c:v>45865</c:v>
                </c:pt>
                <c:pt idx="323">
                  <c:v>33154</c:v>
                </c:pt>
                <c:pt idx="324">
                  <c:v>18576</c:v>
                </c:pt>
                <c:pt idx="325">
                  <c:v>21223</c:v>
                </c:pt>
                <c:pt idx="326">
                  <c:v>39914</c:v>
                </c:pt>
                <c:pt idx="327">
                  <c:v>32143</c:v>
                </c:pt>
                <c:pt idx="328">
                  <c:v>42991</c:v>
                </c:pt>
                <c:pt idx="329">
                  <c:v>1510</c:v>
                </c:pt>
                <c:pt idx="330">
                  <c:v>14967</c:v>
                </c:pt>
                <c:pt idx="331">
                  <c:v>11253</c:v>
                </c:pt>
                <c:pt idx="332">
                  <c:v>39773</c:v>
                </c:pt>
                <c:pt idx="333">
                  <c:v>37209</c:v>
                </c:pt>
                <c:pt idx="334">
                  <c:v>35726</c:v>
                </c:pt>
                <c:pt idx="335">
                  <c:v>33152</c:v>
                </c:pt>
                <c:pt idx="336">
                  <c:v>3573</c:v>
                </c:pt>
                <c:pt idx="337">
                  <c:v>8338</c:v>
                </c:pt>
                <c:pt idx="338">
                  <c:v>37156</c:v>
                </c:pt>
                <c:pt idx="339">
                  <c:v>13011</c:v>
                </c:pt>
                <c:pt idx="340">
                  <c:v>9722</c:v>
                </c:pt>
                <c:pt idx="341">
                  <c:v>11324</c:v>
                </c:pt>
                <c:pt idx="342">
                  <c:v>8991</c:v>
                </c:pt>
                <c:pt idx="343">
                  <c:v>33480</c:v>
                </c:pt>
                <c:pt idx="344">
                  <c:v>49814</c:v>
                </c:pt>
                <c:pt idx="345">
                  <c:v>44048</c:v>
                </c:pt>
                <c:pt idx="346">
                  <c:v>2286</c:v>
                </c:pt>
                <c:pt idx="347">
                  <c:v>32914</c:v>
                </c:pt>
                <c:pt idx="348">
                  <c:v>16954</c:v>
                </c:pt>
                <c:pt idx="349">
                  <c:v>6754</c:v>
                </c:pt>
                <c:pt idx="350">
                  <c:v>3578</c:v>
                </c:pt>
                <c:pt idx="351">
                  <c:v>32571</c:v>
                </c:pt>
                <c:pt idx="352">
                  <c:v>42977</c:v>
                </c:pt>
                <c:pt idx="353">
                  <c:v>41068</c:v>
                </c:pt>
                <c:pt idx="354">
                  <c:v>4045</c:v>
                </c:pt>
                <c:pt idx="355">
                  <c:v>12079</c:v>
                </c:pt>
                <c:pt idx="356">
                  <c:v>6966</c:v>
                </c:pt>
                <c:pt idx="357">
                  <c:v>6236</c:v>
                </c:pt>
                <c:pt idx="358">
                  <c:v>26475</c:v>
                </c:pt>
                <c:pt idx="359">
                  <c:v>27765</c:v>
                </c:pt>
                <c:pt idx="360">
                  <c:v>29351</c:v>
                </c:pt>
                <c:pt idx="361">
                  <c:v>11182</c:v>
                </c:pt>
                <c:pt idx="362">
                  <c:v>9014</c:v>
                </c:pt>
                <c:pt idx="363">
                  <c:v>9464</c:v>
                </c:pt>
                <c:pt idx="364">
                  <c:v>47466</c:v>
                </c:pt>
                <c:pt idx="365">
                  <c:v>37451</c:v>
                </c:pt>
                <c:pt idx="366">
                  <c:v>46397</c:v>
                </c:pt>
                <c:pt idx="367">
                  <c:v>7745</c:v>
                </c:pt>
                <c:pt idx="368">
                  <c:v>32431</c:v>
                </c:pt>
                <c:pt idx="369">
                  <c:v>36679</c:v>
                </c:pt>
                <c:pt idx="370">
                  <c:v>15994</c:v>
                </c:pt>
                <c:pt idx="371">
                  <c:v>38214</c:v>
                </c:pt>
                <c:pt idx="372">
                  <c:v>24234</c:v>
                </c:pt>
                <c:pt idx="373">
                  <c:v>15003</c:v>
                </c:pt>
                <c:pt idx="374">
                  <c:v>38972</c:v>
                </c:pt>
                <c:pt idx="375">
                  <c:v>25127</c:v>
                </c:pt>
                <c:pt idx="376">
                  <c:v>31622</c:v>
                </c:pt>
                <c:pt idx="377">
                  <c:v>43769</c:v>
                </c:pt>
                <c:pt idx="378">
                  <c:v>20954</c:v>
                </c:pt>
                <c:pt idx="379">
                  <c:v>43916</c:v>
                </c:pt>
                <c:pt idx="380">
                  <c:v>15826</c:v>
                </c:pt>
                <c:pt idx="381">
                  <c:v>15712</c:v>
                </c:pt>
                <c:pt idx="382">
                  <c:v>22304</c:v>
                </c:pt>
                <c:pt idx="383">
                  <c:v>25389</c:v>
                </c:pt>
                <c:pt idx="384">
                  <c:v>13726</c:v>
                </c:pt>
                <c:pt idx="385">
                  <c:v>15502</c:v>
                </c:pt>
                <c:pt idx="386">
                  <c:v>41820</c:v>
                </c:pt>
                <c:pt idx="387">
                  <c:v>17574</c:v>
                </c:pt>
                <c:pt idx="388">
                  <c:v>13118</c:v>
                </c:pt>
                <c:pt idx="389">
                  <c:v>32680</c:v>
                </c:pt>
                <c:pt idx="390">
                  <c:v>16970</c:v>
                </c:pt>
                <c:pt idx="391">
                  <c:v>2808</c:v>
                </c:pt>
                <c:pt idx="392">
                  <c:v>44724</c:v>
                </c:pt>
                <c:pt idx="393">
                  <c:v>21642</c:v>
                </c:pt>
                <c:pt idx="394">
                  <c:v>14483</c:v>
                </c:pt>
                <c:pt idx="395">
                  <c:v>1581</c:v>
                </c:pt>
                <c:pt idx="396">
                  <c:v>13509</c:v>
                </c:pt>
                <c:pt idx="397">
                  <c:v>19030</c:v>
                </c:pt>
                <c:pt idx="398">
                  <c:v>17439</c:v>
                </c:pt>
                <c:pt idx="399">
                  <c:v>40723</c:v>
                </c:pt>
                <c:pt idx="400">
                  <c:v>46943</c:v>
                </c:pt>
                <c:pt idx="401">
                  <c:v>22013</c:v>
                </c:pt>
                <c:pt idx="402">
                  <c:v>40943</c:v>
                </c:pt>
                <c:pt idx="403">
                  <c:v>46486</c:v>
                </c:pt>
                <c:pt idx="404">
                  <c:v>46014</c:v>
                </c:pt>
                <c:pt idx="405">
                  <c:v>5922</c:v>
                </c:pt>
                <c:pt idx="406">
                  <c:v>9951</c:v>
                </c:pt>
                <c:pt idx="407">
                  <c:v>2531</c:v>
                </c:pt>
                <c:pt idx="408">
                  <c:v>28247</c:v>
                </c:pt>
                <c:pt idx="409">
                  <c:v>11461</c:v>
                </c:pt>
                <c:pt idx="410">
                  <c:v>16098</c:v>
                </c:pt>
                <c:pt idx="411">
                  <c:v>13581</c:v>
                </c:pt>
                <c:pt idx="412">
                  <c:v>19424</c:v>
                </c:pt>
                <c:pt idx="413">
                  <c:v>12015</c:v>
                </c:pt>
                <c:pt idx="414">
                  <c:v>12829</c:v>
                </c:pt>
                <c:pt idx="415">
                  <c:v>44336</c:v>
                </c:pt>
                <c:pt idx="416">
                  <c:v>34086</c:v>
                </c:pt>
                <c:pt idx="417">
                  <c:v>38735</c:v>
                </c:pt>
                <c:pt idx="418">
                  <c:v>33338</c:v>
                </c:pt>
                <c:pt idx="419">
                  <c:v>39336</c:v>
                </c:pt>
                <c:pt idx="420">
                  <c:v>20545</c:v>
                </c:pt>
                <c:pt idx="421">
                  <c:v>1745</c:v>
                </c:pt>
                <c:pt idx="422">
                  <c:v>16207</c:v>
                </c:pt>
                <c:pt idx="423">
                  <c:v>30193</c:v>
                </c:pt>
                <c:pt idx="424">
                  <c:v>36358</c:v>
                </c:pt>
                <c:pt idx="425">
                  <c:v>16158</c:v>
                </c:pt>
                <c:pt idx="426">
                  <c:v>33312</c:v>
                </c:pt>
                <c:pt idx="427">
                  <c:v>9134</c:v>
                </c:pt>
                <c:pt idx="428">
                  <c:v>9305</c:v>
                </c:pt>
                <c:pt idx="429">
                  <c:v>38397</c:v>
                </c:pt>
                <c:pt idx="430">
                  <c:v>10168</c:v>
                </c:pt>
                <c:pt idx="431">
                  <c:v>43294</c:v>
                </c:pt>
                <c:pt idx="432">
                  <c:v>22536</c:v>
                </c:pt>
                <c:pt idx="433">
                  <c:v>42526</c:v>
                </c:pt>
                <c:pt idx="434">
                  <c:v>10707</c:v>
                </c:pt>
                <c:pt idx="435">
                  <c:v>47566</c:v>
                </c:pt>
                <c:pt idx="436">
                  <c:v>7707</c:v>
                </c:pt>
                <c:pt idx="437">
                  <c:v>21778</c:v>
                </c:pt>
                <c:pt idx="438">
                  <c:v>18170</c:v>
                </c:pt>
                <c:pt idx="439">
                  <c:v>30455</c:v>
                </c:pt>
                <c:pt idx="440">
                  <c:v>37206</c:v>
                </c:pt>
                <c:pt idx="441">
                  <c:v>35626</c:v>
                </c:pt>
                <c:pt idx="442">
                  <c:v>4216</c:v>
                </c:pt>
                <c:pt idx="443">
                  <c:v>23946</c:v>
                </c:pt>
                <c:pt idx="444">
                  <c:v>49808</c:v>
                </c:pt>
                <c:pt idx="445">
                  <c:v>19089</c:v>
                </c:pt>
                <c:pt idx="446">
                  <c:v>5166</c:v>
                </c:pt>
                <c:pt idx="447">
                  <c:v>7089</c:v>
                </c:pt>
                <c:pt idx="448">
                  <c:v>29412</c:v>
                </c:pt>
                <c:pt idx="449">
                  <c:v>2562</c:v>
                </c:pt>
                <c:pt idx="450">
                  <c:v>32877</c:v>
                </c:pt>
                <c:pt idx="451">
                  <c:v>3656</c:v>
                </c:pt>
                <c:pt idx="452">
                  <c:v>13996</c:v>
                </c:pt>
                <c:pt idx="453">
                  <c:v>23994</c:v>
                </c:pt>
                <c:pt idx="454">
                  <c:v>14515</c:v>
                </c:pt>
                <c:pt idx="455">
                  <c:v>29884</c:v>
                </c:pt>
                <c:pt idx="456">
                  <c:v>36653</c:v>
                </c:pt>
                <c:pt idx="457">
                  <c:v>39535</c:v>
                </c:pt>
                <c:pt idx="458">
                  <c:v>30785</c:v>
                </c:pt>
                <c:pt idx="459">
                  <c:v>24005</c:v>
                </c:pt>
                <c:pt idx="460">
                  <c:v>46686</c:v>
                </c:pt>
                <c:pt idx="461">
                  <c:v>26918</c:v>
                </c:pt>
                <c:pt idx="462">
                  <c:v>27967</c:v>
                </c:pt>
                <c:pt idx="463">
                  <c:v>34666</c:v>
                </c:pt>
                <c:pt idx="464">
                  <c:v>18775</c:v>
                </c:pt>
                <c:pt idx="465">
                  <c:v>29174</c:v>
                </c:pt>
                <c:pt idx="466">
                  <c:v>39673</c:v>
                </c:pt>
                <c:pt idx="467">
                  <c:v>10307</c:v>
                </c:pt>
                <c:pt idx="468">
                  <c:v>12718</c:v>
                </c:pt>
                <c:pt idx="469">
                  <c:v>39790</c:v>
                </c:pt>
                <c:pt idx="470">
                  <c:v>22037</c:v>
                </c:pt>
                <c:pt idx="471">
                  <c:v>39229</c:v>
                </c:pt>
                <c:pt idx="472">
                  <c:v>17925</c:v>
                </c:pt>
                <c:pt idx="473">
                  <c:v>42988</c:v>
                </c:pt>
                <c:pt idx="474">
                  <c:v>8566</c:v>
                </c:pt>
                <c:pt idx="475">
                  <c:v>13935</c:v>
                </c:pt>
                <c:pt idx="476">
                  <c:v>43318</c:v>
                </c:pt>
                <c:pt idx="477">
                  <c:v>22365</c:v>
                </c:pt>
                <c:pt idx="478">
                  <c:v>33040</c:v>
                </c:pt>
                <c:pt idx="479">
                  <c:v>34786</c:v>
                </c:pt>
                <c:pt idx="480">
                  <c:v>14497</c:v>
                </c:pt>
                <c:pt idx="481">
                  <c:v>32698</c:v>
                </c:pt>
                <c:pt idx="482">
                  <c:v>30644</c:v>
                </c:pt>
                <c:pt idx="483">
                  <c:v>31639</c:v>
                </c:pt>
                <c:pt idx="484">
                  <c:v>38098</c:v>
                </c:pt>
                <c:pt idx="485">
                  <c:v>41905</c:v>
                </c:pt>
                <c:pt idx="486">
                  <c:v>40793</c:v>
                </c:pt>
                <c:pt idx="487">
                  <c:v>48125</c:v>
                </c:pt>
                <c:pt idx="488">
                  <c:v>8182</c:v>
                </c:pt>
                <c:pt idx="489">
                  <c:v>22514</c:v>
                </c:pt>
                <c:pt idx="490">
                  <c:v>18546</c:v>
                </c:pt>
                <c:pt idx="491">
                  <c:v>10064</c:v>
                </c:pt>
                <c:pt idx="492">
                  <c:v>39197</c:v>
                </c:pt>
                <c:pt idx="493">
                  <c:v>42554</c:v>
                </c:pt>
                <c:pt idx="494">
                  <c:v>26005</c:v>
                </c:pt>
                <c:pt idx="495">
                  <c:v>5534</c:v>
                </c:pt>
                <c:pt idx="496">
                  <c:v>20887</c:v>
                </c:pt>
                <c:pt idx="497">
                  <c:v>7750</c:v>
                </c:pt>
                <c:pt idx="498">
                  <c:v>45912</c:v>
                </c:pt>
                <c:pt idx="499">
                  <c:v>20830</c:v>
                </c:pt>
                <c:pt idx="500">
                  <c:v>48562</c:v>
                </c:pt>
                <c:pt idx="501">
                  <c:v>17665</c:v>
                </c:pt>
                <c:pt idx="502">
                  <c:v>5137</c:v>
                </c:pt>
                <c:pt idx="503">
                  <c:v>20095</c:v>
                </c:pt>
                <c:pt idx="504">
                  <c:v>18994</c:v>
                </c:pt>
                <c:pt idx="505">
                  <c:v>43825</c:v>
                </c:pt>
                <c:pt idx="506">
                  <c:v>31897</c:v>
                </c:pt>
                <c:pt idx="507">
                  <c:v>11050</c:v>
                </c:pt>
                <c:pt idx="508">
                  <c:v>24899</c:v>
                </c:pt>
                <c:pt idx="509">
                  <c:v>29363</c:v>
                </c:pt>
                <c:pt idx="510">
                  <c:v>31376</c:v>
                </c:pt>
                <c:pt idx="511">
                  <c:v>42876</c:v>
                </c:pt>
                <c:pt idx="512">
                  <c:v>2391</c:v>
                </c:pt>
                <c:pt idx="513">
                  <c:v>19751</c:v>
                </c:pt>
                <c:pt idx="514">
                  <c:v>20344</c:v>
                </c:pt>
                <c:pt idx="515">
                  <c:v>22912</c:v>
                </c:pt>
                <c:pt idx="516">
                  <c:v>35477</c:v>
                </c:pt>
                <c:pt idx="517">
                  <c:v>23343</c:v>
                </c:pt>
                <c:pt idx="518">
                  <c:v>40401</c:v>
                </c:pt>
                <c:pt idx="519">
                  <c:v>15440</c:v>
                </c:pt>
                <c:pt idx="520">
                  <c:v>14377</c:v>
                </c:pt>
                <c:pt idx="521">
                  <c:v>17441</c:v>
                </c:pt>
                <c:pt idx="522">
                  <c:v>20354</c:v>
                </c:pt>
                <c:pt idx="523">
                  <c:v>34116</c:v>
                </c:pt>
                <c:pt idx="524">
                  <c:v>41887</c:v>
                </c:pt>
                <c:pt idx="525">
                  <c:v>47625</c:v>
                </c:pt>
                <c:pt idx="526">
                  <c:v>13796</c:v>
                </c:pt>
                <c:pt idx="527">
                  <c:v>45834</c:v>
                </c:pt>
                <c:pt idx="528">
                  <c:v>12601</c:v>
                </c:pt>
                <c:pt idx="529">
                  <c:v>48033</c:v>
                </c:pt>
                <c:pt idx="530">
                  <c:v>40584</c:v>
                </c:pt>
                <c:pt idx="531">
                  <c:v>6341</c:v>
                </c:pt>
                <c:pt idx="532">
                  <c:v>43266</c:v>
                </c:pt>
                <c:pt idx="533">
                  <c:v>45918</c:v>
                </c:pt>
                <c:pt idx="534">
                  <c:v>29838</c:v>
                </c:pt>
                <c:pt idx="535">
                  <c:v>21520</c:v>
                </c:pt>
                <c:pt idx="536">
                  <c:v>41944</c:v>
                </c:pt>
                <c:pt idx="537">
                  <c:v>1794</c:v>
                </c:pt>
                <c:pt idx="538">
                  <c:v>12793</c:v>
                </c:pt>
                <c:pt idx="539">
                  <c:v>29132</c:v>
                </c:pt>
                <c:pt idx="540">
                  <c:v>15763</c:v>
                </c:pt>
                <c:pt idx="541">
                  <c:v>4266</c:v>
                </c:pt>
                <c:pt idx="542">
                  <c:v>38663</c:v>
                </c:pt>
                <c:pt idx="543">
                  <c:v>19378</c:v>
                </c:pt>
                <c:pt idx="544">
                  <c:v>16162</c:v>
                </c:pt>
                <c:pt idx="545">
                  <c:v>10224</c:v>
                </c:pt>
                <c:pt idx="546">
                  <c:v>17380</c:v>
                </c:pt>
                <c:pt idx="547">
                  <c:v>48807</c:v>
                </c:pt>
                <c:pt idx="548">
                  <c:v>3310</c:v>
                </c:pt>
                <c:pt idx="549">
                  <c:v>37030</c:v>
                </c:pt>
                <c:pt idx="550">
                  <c:v>14022</c:v>
                </c:pt>
                <c:pt idx="551">
                  <c:v>41124</c:v>
                </c:pt>
                <c:pt idx="552">
                  <c:v>20070</c:v>
                </c:pt>
                <c:pt idx="553">
                  <c:v>7798</c:v>
                </c:pt>
                <c:pt idx="554">
                  <c:v>16412</c:v>
                </c:pt>
                <c:pt idx="555">
                  <c:v>5513</c:v>
                </c:pt>
                <c:pt idx="556">
                  <c:v>27527</c:v>
                </c:pt>
                <c:pt idx="557">
                  <c:v>46353</c:v>
                </c:pt>
                <c:pt idx="558">
                  <c:v>26896</c:v>
                </c:pt>
                <c:pt idx="559">
                  <c:v>25020</c:v>
                </c:pt>
                <c:pt idx="560">
                  <c:v>14044</c:v>
                </c:pt>
                <c:pt idx="561">
                  <c:v>11589</c:v>
                </c:pt>
                <c:pt idx="562">
                  <c:v>20860</c:v>
                </c:pt>
                <c:pt idx="563">
                  <c:v>15054</c:v>
                </c:pt>
                <c:pt idx="564">
                  <c:v>22362</c:v>
                </c:pt>
                <c:pt idx="565">
                  <c:v>2467</c:v>
                </c:pt>
                <c:pt idx="566">
                  <c:v>49583</c:v>
                </c:pt>
                <c:pt idx="567">
                  <c:v>49884</c:v>
                </c:pt>
                <c:pt idx="568">
                  <c:v>31072</c:v>
                </c:pt>
                <c:pt idx="569">
                  <c:v>28582</c:v>
                </c:pt>
                <c:pt idx="570">
                  <c:v>44438</c:v>
                </c:pt>
                <c:pt idx="571">
                  <c:v>5225</c:v>
                </c:pt>
                <c:pt idx="572">
                  <c:v>29213</c:v>
                </c:pt>
                <c:pt idx="573">
                  <c:v>25554</c:v>
                </c:pt>
                <c:pt idx="574">
                  <c:v>34098</c:v>
                </c:pt>
                <c:pt idx="575">
                  <c:v>4036</c:v>
                </c:pt>
                <c:pt idx="576">
                  <c:v>18507</c:v>
                </c:pt>
                <c:pt idx="577">
                  <c:v>7574</c:v>
                </c:pt>
                <c:pt idx="578">
                  <c:v>9991</c:v>
                </c:pt>
                <c:pt idx="579">
                  <c:v>11837</c:v>
                </c:pt>
                <c:pt idx="580">
                  <c:v>707</c:v>
                </c:pt>
                <c:pt idx="581">
                  <c:v>16140</c:v>
                </c:pt>
                <c:pt idx="582">
                  <c:v>20523</c:v>
                </c:pt>
                <c:pt idx="583">
                  <c:v>10470</c:v>
                </c:pt>
                <c:pt idx="584">
                  <c:v>8212</c:v>
                </c:pt>
                <c:pt idx="585">
                  <c:v>44052</c:v>
                </c:pt>
                <c:pt idx="586">
                  <c:v>12734</c:v>
                </c:pt>
                <c:pt idx="587">
                  <c:v>5251</c:v>
                </c:pt>
                <c:pt idx="588">
                  <c:v>28285</c:v>
                </c:pt>
                <c:pt idx="589">
                  <c:v>23430</c:v>
                </c:pt>
                <c:pt idx="590">
                  <c:v>3035</c:v>
                </c:pt>
                <c:pt idx="591">
                  <c:v>776</c:v>
                </c:pt>
                <c:pt idx="592">
                  <c:v>21632</c:v>
                </c:pt>
                <c:pt idx="593">
                  <c:v>44128</c:v>
                </c:pt>
                <c:pt idx="594">
                  <c:v>39881</c:v>
                </c:pt>
                <c:pt idx="595">
                  <c:v>5002</c:v>
                </c:pt>
                <c:pt idx="596">
                  <c:v>12637</c:v>
                </c:pt>
                <c:pt idx="597">
                  <c:v>1267</c:v>
                </c:pt>
                <c:pt idx="598">
                  <c:v>49285</c:v>
                </c:pt>
                <c:pt idx="599">
                  <c:v>7160</c:v>
                </c:pt>
                <c:pt idx="600">
                  <c:v>33003</c:v>
                </c:pt>
                <c:pt idx="601">
                  <c:v>46688</c:v>
                </c:pt>
                <c:pt idx="602">
                  <c:v>22007</c:v>
                </c:pt>
                <c:pt idx="603">
                  <c:v>19043</c:v>
                </c:pt>
                <c:pt idx="604">
                  <c:v>1974</c:v>
                </c:pt>
                <c:pt idx="605">
                  <c:v>17264</c:v>
                </c:pt>
                <c:pt idx="606">
                  <c:v>28037</c:v>
                </c:pt>
                <c:pt idx="607">
                  <c:v>2369</c:v>
                </c:pt>
                <c:pt idx="608">
                  <c:v>19894</c:v>
                </c:pt>
                <c:pt idx="609">
                  <c:v>33335</c:v>
                </c:pt>
                <c:pt idx="610">
                  <c:v>42658</c:v>
                </c:pt>
                <c:pt idx="611">
                  <c:v>15260</c:v>
                </c:pt>
                <c:pt idx="612">
                  <c:v>1814</c:v>
                </c:pt>
                <c:pt idx="613">
                  <c:v>12225</c:v>
                </c:pt>
                <c:pt idx="614">
                  <c:v>966</c:v>
                </c:pt>
                <c:pt idx="615">
                  <c:v>28535</c:v>
                </c:pt>
                <c:pt idx="616">
                  <c:v>46586</c:v>
                </c:pt>
                <c:pt idx="617">
                  <c:v>30116</c:v>
                </c:pt>
                <c:pt idx="618">
                  <c:v>34202</c:v>
                </c:pt>
                <c:pt idx="619">
                  <c:v>24985</c:v>
                </c:pt>
                <c:pt idx="620">
                  <c:v>18468</c:v>
                </c:pt>
                <c:pt idx="621">
                  <c:v>24526</c:v>
                </c:pt>
                <c:pt idx="622">
                  <c:v>26919</c:v>
                </c:pt>
                <c:pt idx="623">
                  <c:v>49196</c:v>
                </c:pt>
                <c:pt idx="624">
                  <c:v>505</c:v>
                </c:pt>
                <c:pt idx="625">
                  <c:v>15645</c:v>
                </c:pt>
                <c:pt idx="626">
                  <c:v>17013</c:v>
                </c:pt>
                <c:pt idx="627">
                  <c:v>20772</c:v>
                </c:pt>
                <c:pt idx="628">
                  <c:v>14520</c:v>
                </c:pt>
                <c:pt idx="629">
                  <c:v>29477</c:v>
                </c:pt>
                <c:pt idx="630">
                  <c:v>13457</c:v>
                </c:pt>
                <c:pt idx="631">
                  <c:v>49816</c:v>
                </c:pt>
                <c:pt idx="632">
                  <c:v>11727</c:v>
                </c:pt>
                <c:pt idx="633">
                  <c:v>7672</c:v>
                </c:pt>
                <c:pt idx="634">
                  <c:v>44669</c:v>
                </c:pt>
                <c:pt idx="635">
                  <c:v>16944</c:v>
                </c:pt>
                <c:pt idx="636">
                  <c:v>39541</c:v>
                </c:pt>
                <c:pt idx="637">
                  <c:v>1054</c:v>
                </c:pt>
                <c:pt idx="638">
                  <c:v>18037</c:v>
                </c:pt>
                <c:pt idx="639">
                  <c:v>41025</c:v>
                </c:pt>
                <c:pt idx="640">
                  <c:v>21537</c:v>
                </c:pt>
                <c:pt idx="641">
                  <c:v>39390</c:v>
                </c:pt>
                <c:pt idx="642">
                  <c:v>10992</c:v>
                </c:pt>
                <c:pt idx="643">
                  <c:v>7774</c:v>
                </c:pt>
                <c:pt idx="644">
                  <c:v>19434</c:v>
                </c:pt>
                <c:pt idx="645">
                  <c:v>5918</c:v>
                </c:pt>
                <c:pt idx="646">
                  <c:v>47786</c:v>
                </c:pt>
                <c:pt idx="647">
                  <c:v>34071</c:v>
                </c:pt>
                <c:pt idx="648">
                  <c:v>8629</c:v>
                </c:pt>
                <c:pt idx="649">
                  <c:v>4713</c:v>
                </c:pt>
                <c:pt idx="650">
                  <c:v>38389</c:v>
                </c:pt>
                <c:pt idx="651">
                  <c:v>4039</c:v>
                </c:pt>
                <c:pt idx="652">
                  <c:v>983</c:v>
                </c:pt>
                <c:pt idx="653">
                  <c:v>22146</c:v>
                </c:pt>
                <c:pt idx="654">
                  <c:v>3069</c:v>
                </c:pt>
                <c:pt idx="655">
                  <c:v>26206</c:v>
                </c:pt>
                <c:pt idx="656">
                  <c:v>24901</c:v>
                </c:pt>
                <c:pt idx="657">
                  <c:v>38183</c:v>
                </c:pt>
                <c:pt idx="658">
                  <c:v>22352</c:v>
                </c:pt>
                <c:pt idx="659">
                  <c:v>18549</c:v>
                </c:pt>
                <c:pt idx="660">
                  <c:v>36784</c:v>
                </c:pt>
                <c:pt idx="661">
                  <c:v>1712</c:v>
                </c:pt>
                <c:pt idx="662">
                  <c:v>32375</c:v>
                </c:pt>
                <c:pt idx="663">
                  <c:v>11371</c:v>
                </c:pt>
                <c:pt idx="664">
                  <c:v>44086</c:v>
                </c:pt>
                <c:pt idx="665">
                  <c:v>14493</c:v>
                </c:pt>
                <c:pt idx="666">
                  <c:v>10208</c:v>
                </c:pt>
                <c:pt idx="667">
                  <c:v>1967</c:v>
                </c:pt>
                <c:pt idx="668">
                  <c:v>28945</c:v>
                </c:pt>
                <c:pt idx="669">
                  <c:v>46732</c:v>
                </c:pt>
                <c:pt idx="670">
                  <c:v>12900</c:v>
                </c:pt>
                <c:pt idx="671">
                  <c:v>26714</c:v>
                </c:pt>
                <c:pt idx="672">
                  <c:v>19051</c:v>
                </c:pt>
                <c:pt idx="673">
                  <c:v>24981</c:v>
                </c:pt>
                <c:pt idx="674">
                  <c:v>7348</c:v>
                </c:pt>
                <c:pt idx="675">
                  <c:v>2085</c:v>
                </c:pt>
                <c:pt idx="676">
                  <c:v>12344</c:v>
                </c:pt>
                <c:pt idx="677">
                  <c:v>48704</c:v>
                </c:pt>
                <c:pt idx="678">
                  <c:v>47037</c:v>
                </c:pt>
                <c:pt idx="679">
                  <c:v>32510</c:v>
                </c:pt>
                <c:pt idx="680">
                  <c:v>4072</c:v>
                </c:pt>
                <c:pt idx="681">
                  <c:v>40020</c:v>
                </c:pt>
                <c:pt idx="682">
                  <c:v>13419</c:v>
                </c:pt>
                <c:pt idx="683">
                  <c:v>6207</c:v>
                </c:pt>
                <c:pt idx="684">
                  <c:v>35072</c:v>
                </c:pt>
                <c:pt idx="685">
                  <c:v>9020</c:v>
                </c:pt>
                <c:pt idx="686">
                  <c:v>4268</c:v>
                </c:pt>
                <c:pt idx="687">
                  <c:v>902</c:v>
                </c:pt>
                <c:pt idx="688">
                  <c:v>41953</c:v>
                </c:pt>
                <c:pt idx="689">
                  <c:v>31760</c:v>
                </c:pt>
                <c:pt idx="690">
                  <c:v>48106</c:v>
                </c:pt>
                <c:pt idx="691">
                  <c:v>36722</c:v>
                </c:pt>
                <c:pt idx="692">
                  <c:v>13795</c:v>
                </c:pt>
                <c:pt idx="693">
                  <c:v>38856</c:v>
                </c:pt>
                <c:pt idx="694">
                  <c:v>41040</c:v>
                </c:pt>
                <c:pt idx="695">
                  <c:v>20061</c:v>
                </c:pt>
                <c:pt idx="696">
                  <c:v>43549</c:v>
                </c:pt>
                <c:pt idx="697">
                  <c:v>16275</c:v>
                </c:pt>
                <c:pt idx="698">
                  <c:v>24290</c:v>
                </c:pt>
                <c:pt idx="699">
                  <c:v>2601</c:v>
                </c:pt>
                <c:pt idx="700">
                  <c:v>3787</c:v>
                </c:pt>
                <c:pt idx="701">
                  <c:v>22537</c:v>
                </c:pt>
                <c:pt idx="702">
                  <c:v>8774</c:v>
                </c:pt>
                <c:pt idx="703">
                  <c:v>31423</c:v>
                </c:pt>
                <c:pt idx="704">
                  <c:v>15698</c:v>
                </c:pt>
                <c:pt idx="705">
                  <c:v>5917</c:v>
                </c:pt>
                <c:pt idx="706">
                  <c:v>29112</c:v>
                </c:pt>
                <c:pt idx="707">
                  <c:v>30385</c:v>
                </c:pt>
                <c:pt idx="708">
                  <c:v>29604</c:v>
                </c:pt>
                <c:pt idx="709">
                  <c:v>38693</c:v>
                </c:pt>
                <c:pt idx="710">
                  <c:v>25345</c:v>
                </c:pt>
                <c:pt idx="711">
                  <c:v>30846</c:v>
                </c:pt>
                <c:pt idx="712">
                  <c:v>49901</c:v>
                </c:pt>
                <c:pt idx="713">
                  <c:v>38812</c:v>
                </c:pt>
                <c:pt idx="714">
                  <c:v>44471</c:v>
                </c:pt>
                <c:pt idx="715">
                  <c:v>7992</c:v>
                </c:pt>
                <c:pt idx="716">
                  <c:v>19368</c:v>
                </c:pt>
                <c:pt idx="717">
                  <c:v>44768</c:v>
                </c:pt>
                <c:pt idx="718">
                  <c:v>44534</c:v>
                </c:pt>
                <c:pt idx="719">
                  <c:v>49738</c:v>
                </c:pt>
                <c:pt idx="720">
                  <c:v>1751</c:v>
                </c:pt>
                <c:pt idx="721">
                  <c:v>45809</c:v>
                </c:pt>
                <c:pt idx="722">
                  <c:v>783</c:v>
                </c:pt>
                <c:pt idx="723">
                  <c:v>22240</c:v>
                </c:pt>
                <c:pt idx="724">
                  <c:v>11893</c:v>
                </c:pt>
                <c:pt idx="725">
                  <c:v>27522</c:v>
                </c:pt>
                <c:pt idx="726">
                  <c:v>1944</c:v>
                </c:pt>
                <c:pt idx="727">
                  <c:v>11844</c:v>
                </c:pt>
                <c:pt idx="728">
                  <c:v>32436</c:v>
                </c:pt>
                <c:pt idx="729">
                  <c:v>10288</c:v>
                </c:pt>
                <c:pt idx="730">
                  <c:v>25447</c:v>
                </c:pt>
                <c:pt idx="731">
                  <c:v>2855</c:v>
                </c:pt>
                <c:pt idx="732">
                  <c:v>36539</c:v>
                </c:pt>
                <c:pt idx="733">
                  <c:v>37839</c:v>
                </c:pt>
                <c:pt idx="734">
                  <c:v>23875</c:v>
                </c:pt>
                <c:pt idx="735">
                  <c:v>42802</c:v>
                </c:pt>
                <c:pt idx="736">
                  <c:v>42084</c:v>
                </c:pt>
                <c:pt idx="737">
                  <c:v>32778</c:v>
                </c:pt>
                <c:pt idx="738">
                  <c:v>27342</c:v>
                </c:pt>
                <c:pt idx="739">
                  <c:v>15520</c:v>
                </c:pt>
                <c:pt idx="740">
                  <c:v>49242</c:v>
                </c:pt>
                <c:pt idx="741">
                  <c:v>25355</c:v>
                </c:pt>
                <c:pt idx="742">
                  <c:v>11588</c:v>
                </c:pt>
                <c:pt idx="743">
                  <c:v>30493</c:v>
                </c:pt>
                <c:pt idx="744">
                  <c:v>5224</c:v>
                </c:pt>
                <c:pt idx="745">
                  <c:v>8752</c:v>
                </c:pt>
                <c:pt idx="746">
                  <c:v>12635</c:v>
                </c:pt>
                <c:pt idx="747">
                  <c:v>9918</c:v>
                </c:pt>
                <c:pt idx="748">
                  <c:v>15881</c:v>
                </c:pt>
                <c:pt idx="749">
                  <c:v>16556</c:v>
                </c:pt>
                <c:pt idx="750">
                  <c:v>42083</c:v>
                </c:pt>
                <c:pt idx="751">
                  <c:v>2148</c:v>
                </c:pt>
                <c:pt idx="752">
                  <c:v>30955</c:v>
                </c:pt>
                <c:pt idx="753">
                  <c:v>28180</c:v>
                </c:pt>
                <c:pt idx="754">
                  <c:v>49027</c:v>
                </c:pt>
                <c:pt idx="755">
                  <c:v>16333</c:v>
                </c:pt>
                <c:pt idx="756">
                  <c:v>11138</c:v>
                </c:pt>
                <c:pt idx="757">
                  <c:v>35830</c:v>
                </c:pt>
                <c:pt idx="758">
                  <c:v>1592</c:v>
                </c:pt>
                <c:pt idx="759">
                  <c:v>34377</c:v>
                </c:pt>
                <c:pt idx="760">
                  <c:v>18278</c:v>
                </c:pt>
                <c:pt idx="761">
                  <c:v>27597</c:v>
                </c:pt>
                <c:pt idx="762">
                  <c:v>23505</c:v>
                </c:pt>
                <c:pt idx="763">
                  <c:v>7320</c:v>
                </c:pt>
                <c:pt idx="764">
                  <c:v>12607</c:v>
                </c:pt>
                <c:pt idx="765">
                  <c:v>1093</c:v>
                </c:pt>
                <c:pt idx="766">
                  <c:v>39011</c:v>
                </c:pt>
                <c:pt idx="767">
                  <c:v>16040</c:v>
                </c:pt>
                <c:pt idx="768">
                  <c:v>42542</c:v>
                </c:pt>
                <c:pt idx="769">
                  <c:v>27622</c:v>
                </c:pt>
                <c:pt idx="770">
                  <c:v>24024</c:v>
                </c:pt>
                <c:pt idx="771">
                  <c:v>8732</c:v>
                </c:pt>
                <c:pt idx="772">
                  <c:v>22415</c:v>
                </c:pt>
                <c:pt idx="773">
                  <c:v>49115</c:v>
                </c:pt>
                <c:pt idx="774">
                  <c:v>43985</c:v>
                </c:pt>
                <c:pt idx="775">
                  <c:v>45430</c:v>
                </c:pt>
                <c:pt idx="776">
                  <c:v>33350</c:v>
                </c:pt>
                <c:pt idx="777">
                  <c:v>7685</c:v>
                </c:pt>
                <c:pt idx="778">
                  <c:v>40994</c:v>
                </c:pt>
                <c:pt idx="779">
                  <c:v>27712</c:v>
                </c:pt>
                <c:pt idx="780">
                  <c:v>37034</c:v>
                </c:pt>
                <c:pt idx="781">
                  <c:v>10682</c:v>
                </c:pt>
                <c:pt idx="782">
                  <c:v>2088</c:v>
                </c:pt>
                <c:pt idx="783">
                  <c:v>12629</c:v>
                </c:pt>
                <c:pt idx="784">
                  <c:v>41558</c:v>
                </c:pt>
                <c:pt idx="785">
                  <c:v>14935</c:v>
                </c:pt>
                <c:pt idx="786">
                  <c:v>28923</c:v>
                </c:pt>
                <c:pt idx="787">
                  <c:v>2612</c:v>
                </c:pt>
                <c:pt idx="788">
                  <c:v>33242</c:v>
                </c:pt>
                <c:pt idx="789">
                  <c:v>29997</c:v>
                </c:pt>
                <c:pt idx="790">
                  <c:v>8268</c:v>
                </c:pt>
                <c:pt idx="791">
                  <c:v>40816</c:v>
                </c:pt>
                <c:pt idx="792">
                  <c:v>37476</c:v>
                </c:pt>
                <c:pt idx="793">
                  <c:v>48851</c:v>
                </c:pt>
                <c:pt idx="794">
                  <c:v>9459</c:v>
                </c:pt>
                <c:pt idx="795">
                  <c:v>48993</c:v>
                </c:pt>
                <c:pt idx="796">
                  <c:v>45040</c:v>
                </c:pt>
                <c:pt idx="797">
                  <c:v>29353</c:v>
                </c:pt>
                <c:pt idx="798">
                  <c:v>26384</c:v>
                </c:pt>
                <c:pt idx="799">
                  <c:v>671</c:v>
                </c:pt>
                <c:pt idx="800">
                  <c:v>26214</c:v>
                </c:pt>
                <c:pt idx="801">
                  <c:v>6704</c:v>
                </c:pt>
                <c:pt idx="802">
                  <c:v>17738</c:v>
                </c:pt>
                <c:pt idx="803">
                  <c:v>5567</c:v>
                </c:pt>
                <c:pt idx="804">
                  <c:v>7768</c:v>
                </c:pt>
                <c:pt idx="805">
                  <c:v>14891</c:v>
                </c:pt>
                <c:pt idx="806">
                  <c:v>9422</c:v>
                </c:pt>
                <c:pt idx="807">
                  <c:v>32076</c:v>
                </c:pt>
                <c:pt idx="808">
                  <c:v>8867</c:v>
                </c:pt>
                <c:pt idx="809">
                  <c:v>46722</c:v>
                </c:pt>
                <c:pt idx="810">
                  <c:v>32928</c:v>
                </c:pt>
                <c:pt idx="811">
                  <c:v>31107</c:v>
                </c:pt>
                <c:pt idx="812">
                  <c:v>32668</c:v>
                </c:pt>
                <c:pt idx="813">
                  <c:v>31033</c:v>
                </c:pt>
                <c:pt idx="814">
                  <c:v>45234</c:v>
                </c:pt>
                <c:pt idx="815">
                  <c:v>35939</c:v>
                </c:pt>
                <c:pt idx="816">
                  <c:v>46993</c:v>
                </c:pt>
                <c:pt idx="817">
                  <c:v>31235</c:v>
                </c:pt>
                <c:pt idx="818">
                  <c:v>29351</c:v>
                </c:pt>
                <c:pt idx="819">
                  <c:v>12506</c:v>
                </c:pt>
                <c:pt idx="820">
                  <c:v>4823</c:v>
                </c:pt>
                <c:pt idx="821">
                  <c:v>35947</c:v>
                </c:pt>
                <c:pt idx="822">
                  <c:v>17899</c:v>
                </c:pt>
                <c:pt idx="823">
                  <c:v>16704</c:v>
                </c:pt>
                <c:pt idx="824">
                  <c:v>47071</c:v>
                </c:pt>
                <c:pt idx="825">
                  <c:v>1444</c:v>
                </c:pt>
                <c:pt idx="826">
                  <c:v>31752</c:v>
                </c:pt>
                <c:pt idx="827">
                  <c:v>22748</c:v>
                </c:pt>
                <c:pt idx="828">
                  <c:v>35267</c:v>
                </c:pt>
                <c:pt idx="829">
                  <c:v>8679</c:v>
                </c:pt>
                <c:pt idx="830">
                  <c:v>21101</c:v>
                </c:pt>
                <c:pt idx="831">
                  <c:v>46524</c:v>
                </c:pt>
                <c:pt idx="832">
                  <c:v>15444</c:v>
                </c:pt>
                <c:pt idx="833">
                  <c:v>29638</c:v>
                </c:pt>
                <c:pt idx="834">
                  <c:v>7874</c:v>
                </c:pt>
                <c:pt idx="835">
                  <c:v>18954</c:v>
                </c:pt>
                <c:pt idx="836">
                  <c:v>13890</c:v>
                </c:pt>
                <c:pt idx="837">
                  <c:v>5624</c:v>
                </c:pt>
                <c:pt idx="838">
                  <c:v>32638</c:v>
                </c:pt>
                <c:pt idx="839">
                  <c:v>16179</c:v>
                </c:pt>
                <c:pt idx="840">
                  <c:v>2904</c:v>
                </c:pt>
                <c:pt idx="841">
                  <c:v>16779</c:v>
                </c:pt>
                <c:pt idx="842">
                  <c:v>49274</c:v>
                </c:pt>
                <c:pt idx="843">
                  <c:v>13364</c:v>
                </c:pt>
                <c:pt idx="844">
                  <c:v>31492</c:v>
                </c:pt>
                <c:pt idx="845">
                  <c:v>9310</c:v>
                </c:pt>
                <c:pt idx="846">
                  <c:v>15901</c:v>
                </c:pt>
                <c:pt idx="847">
                  <c:v>46317</c:v>
                </c:pt>
                <c:pt idx="848">
                  <c:v>40607</c:v>
                </c:pt>
                <c:pt idx="849">
                  <c:v>48635</c:v>
                </c:pt>
                <c:pt idx="850">
                  <c:v>28509</c:v>
                </c:pt>
                <c:pt idx="851">
                  <c:v>13642</c:v>
                </c:pt>
                <c:pt idx="852">
                  <c:v>34054</c:v>
                </c:pt>
                <c:pt idx="853">
                  <c:v>12248</c:v>
                </c:pt>
                <c:pt idx="854">
                  <c:v>2542</c:v>
                </c:pt>
                <c:pt idx="855">
                  <c:v>6129</c:v>
                </c:pt>
                <c:pt idx="856">
                  <c:v>2522</c:v>
                </c:pt>
                <c:pt idx="857">
                  <c:v>31250</c:v>
                </c:pt>
                <c:pt idx="858">
                  <c:v>505</c:v>
                </c:pt>
                <c:pt idx="859">
                  <c:v>45544</c:v>
                </c:pt>
                <c:pt idx="860">
                  <c:v>38214</c:v>
                </c:pt>
                <c:pt idx="861">
                  <c:v>14172</c:v>
                </c:pt>
                <c:pt idx="862">
                  <c:v>2625</c:v>
                </c:pt>
                <c:pt idx="863">
                  <c:v>32258</c:v>
                </c:pt>
                <c:pt idx="864">
                  <c:v>44554</c:v>
                </c:pt>
                <c:pt idx="865">
                  <c:v>9842</c:v>
                </c:pt>
                <c:pt idx="866">
                  <c:v>25283</c:v>
                </c:pt>
                <c:pt idx="867">
                  <c:v>33092</c:v>
                </c:pt>
                <c:pt idx="868">
                  <c:v>32665</c:v>
                </c:pt>
                <c:pt idx="869">
                  <c:v>24701</c:v>
                </c:pt>
                <c:pt idx="870">
                  <c:v>27881</c:v>
                </c:pt>
                <c:pt idx="871">
                  <c:v>17113</c:v>
                </c:pt>
                <c:pt idx="872">
                  <c:v>27148</c:v>
                </c:pt>
                <c:pt idx="873">
                  <c:v>41387</c:v>
                </c:pt>
                <c:pt idx="874">
                  <c:v>44644</c:v>
                </c:pt>
                <c:pt idx="875">
                  <c:v>20676</c:v>
                </c:pt>
                <c:pt idx="876">
                  <c:v>1846</c:v>
                </c:pt>
                <c:pt idx="877">
                  <c:v>19077</c:v>
                </c:pt>
                <c:pt idx="878">
                  <c:v>21577</c:v>
                </c:pt>
                <c:pt idx="879">
                  <c:v>3314</c:v>
                </c:pt>
                <c:pt idx="880">
                  <c:v>34247</c:v>
                </c:pt>
                <c:pt idx="881">
                  <c:v>38893</c:v>
                </c:pt>
                <c:pt idx="882">
                  <c:v>46868</c:v>
                </c:pt>
                <c:pt idx="883">
                  <c:v>16900</c:v>
                </c:pt>
                <c:pt idx="884">
                  <c:v>9243</c:v>
                </c:pt>
                <c:pt idx="885">
                  <c:v>37967</c:v>
                </c:pt>
                <c:pt idx="886">
                  <c:v>35753</c:v>
                </c:pt>
                <c:pt idx="887">
                  <c:v>40560</c:v>
                </c:pt>
                <c:pt idx="888">
                  <c:v>26186</c:v>
                </c:pt>
                <c:pt idx="889">
                  <c:v>20284</c:v>
                </c:pt>
                <c:pt idx="890">
                  <c:v>39034</c:v>
                </c:pt>
                <c:pt idx="891">
                  <c:v>24541</c:v>
                </c:pt>
                <c:pt idx="892">
                  <c:v>24630</c:v>
                </c:pt>
                <c:pt idx="893">
                  <c:v>48244</c:v>
                </c:pt>
                <c:pt idx="894">
                  <c:v>48207</c:v>
                </c:pt>
                <c:pt idx="895">
                  <c:v>46177</c:v>
                </c:pt>
                <c:pt idx="896">
                  <c:v>1706</c:v>
                </c:pt>
                <c:pt idx="897">
                  <c:v>5773</c:v>
                </c:pt>
                <c:pt idx="898">
                  <c:v>12033</c:v>
                </c:pt>
                <c:pt idx="899">
                  <c:v>37978</c:v>
                </c:pt>
                <c:pt idx="900">
                  <c:v>9380</c:v>
                </c:pt>
                <c:pt idx="901">
                  <c:v>1692</c:v>
                </c:pt>
                <c:pt idx="902">
                  <c:v>19290</c:v>
                </c:pt>
                <c:pt idx="903">
                  <c:v>18439</c:v>
                </c:pt>
                <c:pt idx="904">
                  <c:v>18210</c:v>
                </c:pt>
                <c:pt idx="905">
                  <c:v>11316</c:v>
                </c:pt>
                <c:pt idx="906">
                  <c:v>15034</c:v>
                </c:pt>
                <c:pt idx="907">
                  <c:v>21847</c:v>
                </c:pt>
                <c:pt idx="908">
                  <c:v>21346</c:v>
                </c:pt>
                <c:pt idx="909">
                  <c:v>44453</c:v>
                </c:pt>
                <c:pt idx="910">
                  <c:v>20213</c:v>
                </c:pt>
                <c:pt idx="911">
                  <c:v>32178</c:v>
                </c:pt>
                <c:pt idx="912">
                  <c:v>34435</c:v>
                </c:pt>
                <c:pt idx="913">
                  <c:v>43109</c:v>
                </c:pt>
                <c:pt idx="914">
                  <c:v>12310</c:v>
                </c:pt>
                <c:pt idx="915">
                  <c:v>36766</c:v>
                </c:pt>
                <c:pt idx="916">
                  <c:v>21533</c:v>
                </c:pt>
                <c:pt idx="917">
                  <c:v>7020</c:v>
                </c:pt>
                <c:pt idx="918">
                  <c:v>4277</c:v>
                </c:pt>
                <c:pt idx="919">
                  <c:v>43894</c:v>
                </c:pt>
                <c:pt idx="920">
                  <c:v>561</c:v>
                </c:pt>
                <c:pt idx="921">
                  <c:v>27039</c:v>
                </c:pt>
                <c:pt idx="922">
                  <c:v>8745</c:v>
                </c:pt>
                <c:pt idx="923">
                  <c:v>44617</c:v>
                </c:pt>
                <c:pt idx="924">
                  <c:v>23050</c:v>
                </c:pt>
                <c:pt idx="925">
                  <c:v>27613</c:v>
                </c:pt>
                <c:pt idx="926">
                  <c:v>49947</c:v>
                </c:pt>
                <c:pt idx="927">
                  <c:v>39309</c:v>
                </c:pt>
                <c:pt idx="928">
                  <c:v>8458</c:v>
                </c:pt>
                <c:pt idx="929">
                  <c:v>3906</c:v>
                </c:pt>
                <c:pt idx="930">
                  <c:v>850</c:v>
                </c:pt>
                <c:pt idx="931">
                  <c:v>40343</c:v>
                </c:pt>
                <c:pt idx="932">
                  <c:v>5164</c:v>
                </c:pt>
                <c:pt idx="933">
                  <c:v>40116</c:v>
                </c:pt>
                <c:pt idx="934">
                  <c:v>9625</c:v>
                </c:pt>
                <c:pt idx="935">
                  <c:v>31908</c:v>
                </c:pt>
                <c:pt idx="936">
                  <c:v>41464</c:v>
                </c:pt>
                <c:pt idx="937">
                  <c:v>37601</c:v>
                </c:pt>
                <c:pt idx="938">
                  <c:v>34510</c:v>
                </c:pt>
                <c:pt idx="939">
                  <c:v>20410</c:v>
                </c:pt>
                <c:pt idx="940">
                  <c:v>34872</c:v>
                </c:pt>
                <c:pt idx="941">
                  <c:v>19607</c:v>
                </c:pt>
                <c:pt idx="942">
                  <c:v>36766</c:v>
                </c:pt>
                <c:pt idx="943">
                  <c:v>3085</c:v>
                </c:pt>
                <c:pt idx="944">
                  <c:v>21257</c:v>
                </c:pt>
                <c:pt idx="945">
                  <c:v>49031</c:v>
                </c:pt>
                <c:pt idx="946">
                  <c:v>29845</c:v>
                </c:pt>
                <c:pt idx="947">
                  <c:v>8576</c:v>
                </c:pt>
                <c:pt idx="948">
                  <c:v>16921</c:v>
                </c:pt>
                <c:pt idx="949">
                  <c:v>3412</c:v>
                </c:pt>
                <c:pt idx="950">
                  <c:v>9738</c:v>
                </c:pt>
                <c:pt idx="951">
                  <c:v>9247</c:v>
                </c:pt>
                <c:pt idx="952">
                  <c:v>14801</c:v>
                </c:pt>
                <c:pt idx="953">
                  <c:v>15407</c:v>
                </c:pt>
                <c:pt idx="954">
                  <c:v>28334</c:v>
                </c:pt>
                <c:pt idx="955">
                  <c:v>34481</c:v>
                </c:pt>
                <c:pt idx="956">
                  <c:v>26471</c:v>
                </c:pt>
                <c:pt idx="957">
                  <c:v>20099</c:v>
                </c:pt>
                <c:pt idx="958">
                  <c:v>15067</c:v>
                </c:pt>
                <c:pt idx="959">
                  <c:v>42560</c:v>
                </c:pt>
                <c:pt idx="960">
                  <c:v>12475</c:v>
                </c:pt>
                <c:pt idx="961">
                  <c:v>24467</c:v>
                </c:pt>
                <c:pt idx="962">
                  <c:v>27140</c:v>
                </c:pt>
                <c:pt idx="963">
                  <c:v>42454</c:v>
                </c:pt>
                <c:pt idx="964">
                  <c:v>25433</c:v>
                </c:pt>
                <c:pt idx="965">
                  <c:v>49237</c:v>
                </c:pt>
                <c:pt idx="966">
                  <c:v>6621</c:v>
                </c:pt>
                <c:pt idx="967">
                  <c:v>28247</c:v>
                </c:pt>
                <c:pt idx="968">
                  <c:v>36858</c:v>
                </c:pt>
                <c:pt idx="969">
                  <c:v>39547</c:v>
                </c:pt>
                <c:pt idx="970">
                  <c:v>32940</c:v>
                </c:pt>
                <c:pt idx="971">
                  <c:v>10872</c:v>
                </c:pt>
                <c:pt idx="972">
                  <c:v>4086</c:v>
                </c:pt>
                <c:pt idx="973">
                  <c:v>7384</c:v>
                </c:pt>
                <c:pt idx="974">
                  <c:v>31460</c:v>
                </c:pt>
                <c:pt idx="975">
                  <c:v>46729</c:v>
                </c:pt>
                <c:pt idx="976">
                  <c:v>30434</c:v>
                </c:pt>
                <c:pt idx="977">
                  <c:v>1889</c:v>
                </c:pt>
                <c:pt idx="978">
                  <c:v>23991</c:v>
                </c:pt>
                <c:pt idx="979">
                  <c:v>37157</c:v>
                </c:pt>
                <c:pt idx="980">
                  <c:v>10060</c:v>
                </c:pt>
                <c:pt idx="981">
                  <c:v>21216</c:v>
                </c:pt>
                <c:pt idx="982">
                  <c:v>31900</c:v>
                </c:pt>
                <c:pt idx="983">
                  <c:v>44936</c:v>
                </c:pt>
                <c:pt idx="984">
                  <c:v>752</c:v>
                </c:pt>
                <c:pt idx="985">
                  <c:v>45511</c:v>
                </c:pt>
                <c:pt idx="986">
                  <c:v>20847</c:v>
                </c:pt>
                <c:pt idx="987">
                  <c:v>14919</c:v>
                </c:pt>
                <c:pt idx="988">
                  <c:v>28953</c:v>
                </c:pt>
                <c:pt idx="989">
                  <c:v>25717</c:v>
                </c:pt>
                <c:pt idx="990">
                  <c:v>8020</c:v>
                </c:pt>
                <c:pt idx="991">
                  <c:v>28330</c:v>
                </c:pt>
                <c:pt idx="992">
                  <c:v>18347</c:v>
                </c:pt>
                <c:pt idx="993">
                  <c:v>45184</c:v>
                </c:pt>
                <c:pt idx="994">
                  <c:v>18282</c:v>
                </c:pt>
                <c:pt idx="995">
                  <c:v>40697</c:v>
                </c:pt>
                <c:pt idx="996">
                  <c:v>7588</c:v>
                </c:pt>
                <c:pt idx="997">
                  <c:v>25116</c:v>
                </c:pt>
                <c:pt idx="998">
                  <c:v>29368</c:v>
                </c:pt>
                <c:pt idx="999">
                  <c:v>29929</c:v>
                </c:pt>
              </c:numCache>
            </c:numRef>
          </c:xVal>
          <c:yVal>
            <c:numRef>
              <c:f>Values!$B$2:$B$1001</c:f>
              <c:numCache>
                <c:formatCode>0</c:formatCode>
                <c:ptCount val="1000"/>
                <c:pt idx="0">
                  <c:v>72.5</c:v>
                </c:pt>
                <c:pt idx="1">
                  <c:v>72</c:v>
                </c:pt>
                <c:pt idx="2">
                  <c:v>76</c:v>
                </c:pt>
                <c:pt idx="3">
                  <c:v>92</c:v>
                </c:pt>
                <c:pt idx="4">
                  <c:v>74</c:v>
                </c:pt>
                <c:pt idx="5">
                  <c:v>71</c:v>
                </c:pt>
                <c:pt idx="6">
                  <c:v>64</c:v>
                </c:pt>
                <c:pt idx="7">
                  <c:v>87</c:v>
                </c:pt>
                <c:pt idx="8">
                  <c:v>76</c:v>
                </c:pt>
                <c:pt idx="9">
                  <c:v>73</c:v>
                </c:pt>
                <c:pt idx="10">
                  <c:v>57</c:v>
                </c:pt>
                <c:pt idx="11">
                  <c:v>45</c:v>
                </c:pt>
                <c:pt idx="12">
                  <c:v>74</c:v>
                </c:pt>
                <c:pt idx="13">
                  <c:v>89</c:v>
                </c:pt>
                <c:pt idx="14">
                  <c:v>97</c:v>
                </c:pt>
                <c:pt idx="15">
                  <c:v>76</c:v>
                </c:pt>
                <c:pt idx="16">
                  <c:v>49</c:v>
                </c:pt>
                <c:pt idx="17">
                  <c:v>46</c:v>
                </c:pt>
                <c:pt idx="18">
                  <c:v>40</c:v>
                </c:pt>
                <c:pt idx="19">
                  <c:v>71</c:v>
                </c:pt>
                <c:pt idx="20">
                  <c:v>72</c:v>
                </c:pt>
                <c:pt idx="21">
                  <c:v>56</c:v>
                </c:pt>
                <c:pt idx="22">
                  <c:v>44</c:v>
                </c:pt>
                <c:pt idx="23">
                  <c:v>90</c:v>
                </c:pt>
                <c:pt idx="24">
                  <c:v>75</c:v>
                </c:pt>
                <c:pt idx="25">
                  <c:v>51</c:v>
                </c:pt>
                <c:pt idx="26">
                  <c:v>65</c:v>
                </c:pt>
                <c:pt idx="27">
                  <c:v>44</c:v>
                </c:pt>
                <c:pt idx="28">
                  <c:v>99</c:v>
                </c:pt>
                <c:pt idx="29">
                  <c:v>76</c:v>
                </c:pt>
                <c:pt idx="30">
                  <c:v>67</c:v>
                </c:pt>
                <c:pt idx="31">
                  <c:v>43</c:v>
                </c:pt>
                <c:pt idx="32">
                  <c:v>96</c:v>
                </c:pt>
                <c:pt idx="33">
                  <c:v>60</c:v>
                </c:pt>
                <c:pt idx="34">
                  <c:v>49</c:v>
                </c:pt>
                <c:pt idx="35">
                  <c:v>69</c:v>
                </c:pt>
                <c:pt idx="36">
                  <c:v>61</c:v>
                </c:pt>
                <c:pt idx="37">
                  <c:v>68</c:v>
                </c:pt>
                <c:pt idx="38">
                  <c:v>97</c:v>
                </c:pt>
                <c:pt idx="39">
                  <c:v>50</c:v>
                </c:pt>
                <c:pt idx="40">
                  <c:v>86</c:v>
                </c:pt>
                <c:pt idx="41">
                  <c:v>74</c:v>
                </c:pt>
                <c:pt idx="42">
                  <c:v>93</c:v>
                </c:pt>
                <c:pt idx="43">
                  <c:v>69</c:v>
                </c:pt>
                <c:pt idx="44">
                  <c:v>92</c:v>
                </c:pt>
                <c:pt idx="45">
                  <c:v>62</c:v>
                </c:pt>
                <c:pt idx="46">
                  <c:v>69</c:v>
                </c:pt>
                <c:pt idx="47">
                  <c:v>98</c:v>
                </c:pt>
                <c:pt idx="48">
                  <c:v>41</c:v>
                </c:pt>
                <c:pt idx="49">
                  <c:v>72</c:v>
                </c:pt>
                <c:pt idx="50">
                  <c:v>91</c:v>
                </c:pt>
                <c:pt idx="51">
                  <c:v>79</c:v>
                </c:pt>
                <c:pt idx="52">
                  <c:v>90</c:v>
                </c:pt>
                <c:pt idx="53">
                  <c:v>68</c:v>
                </c:pt>
                <c:pt idx="54">
                  <c:v>96</c:v>
                </c:pt>
                <c:pt idx="55">
                  <c:v>85</c:v>
                </c:pt>
                <c:pt idx="56">
                  <c:v>66</c:v>
                </c:pt>
                <c:pt idx="57">
                  <c:v>73</c:v>
                </c:pt>
                <c:pt idx="58">
                  <c:v>57</c:v>
                </c:pt>
                <c:pt idx="59">
                  <c:v>59</c:v>
                </c:pt>
                <c:pt idx="60">
                  <c:v>57</c:v>
                </c:pt>
                <c:pt idx="61">
                  <c:v>79</c:v>
                </c:pt>
                <c:pt idx="62">
                  <c:v>63</c:v>
                </c:pt>
                <c:pt idx="63">
                  <c:v>63</c:v>
                </c:pt>
                <c:pt idx="64">
                  <c:v>54</c:v>
                </c:pt>
                <c:pt idx="65">
                  <c:v>87</c:v>
                </c:pt>
                <c:pt idx="66">
                  <c:v>48</c:v>
                </c:pt>
                <c:pt idx="67">
                  <c:v>62</c:v>
                </c:pt>
                <c:pt idx="68">
                  <c:v>89</c:v>
                </c:pt>
                <c:pt idx="69">
                  <c:v>93</c:v>
                </c:pt>
                <c:pt idx="70">
                  <c:v>44</c:v>
                </c:pt>
                <c:pt idx="71">
                  <c:v>71</c:v>
                </c:pt>
                <c:pt idx="72">
                  <c:v>41</c:v>
                </c:pt>
                <c:pt idx="73">
                  <c:v>75</c:v>
                </c:pt>
                <c:pt idx="74">
                  <c:v>97</c:v>
                </c:pt>
                <c:pt idx="75">
                  <c:v>94</c:v>
                </c:pt>
                <c:pt idx="76">
                  <c:v>80</c:v>
                </c:pt>
                <c:pt idx="77">
                  <c:v>72</c:v>
                </c:pt>
                <c:pt idx="78">
                  <c:v>84</c:v>
                </c:pt>
                <c:pt idx="79">
                  <c:v>99</c:v>
                </c:pt>
                <c:pt idx="80">
                  <c:v>58</c:v>
                </c:pt>
                <c:pt idx="81">
                  <c:v>69</c:v>
                </c:pt>
                <c:pt idx="82">
                  <c:v>90</c:v>
                </c:pt>
                <c:pt idx="83">
                  <c:v>78</c:v>
                </c:pt>
                <c:pt idx="84">
                  <c:v>63</c:v>
                </c:pt>
                <c:pt idx="85">
                  <c:v>43</c:v>
                </c:pt>
                <c:pt idx="86">
                  <c:v>89</c:v>
                </c:pt>
                <c:pt idx="87">
                  <c:v>42</c:v>
                </c:pt>
                <c:pt idx="88">
                  <c:v>48</c:v>
                </c:pt>
                <c:pt idx="89">
                  <c:v>76</c:v>
                </c:pt>
                <c:pt idx="90">
                  <c:v>50</c:v>
                </c:pt>
                <c:pt idx="91">
                  <c:v>55</c:v>
                </c:pt>
                <c:pt idx="92">
                  <c:v>79</c:v>
                </c:pt>
                <c:pt idx="93">
                  <c:v>53</c:v>
                </c:pt>
                <c:pt idx="94">
                  <c:v>92</c:v>
                </c:pt>
                <c:pt idx="95">
                  <c:v>97</c:v>
                </c:pt>
                <c:pt idx="96">
                  <c:v>75</c:v>
                </c:pt>
                <c:pt idx="97">
                  <c:v>48</c:v>
                </c:pt>
                <c:pt idx="98">
                  <c:v>50</c:v>
                </c:pt>
                <c:pt idx="99">
                  <c:v>93</c:v>
                </c:pt>
                <c:pt idx="100">
                  <c:v>82</c:v>
                </c:pt>
                <c:pt idx="101">
                  <c:v>62</c:v>
                </c:pt>
                <c:pt idx="102">
                  <c:v>65</c:v>
                </c:pt>
                <c:pt idx="103">
                  <c:v>44</c:v>
                </c:pt>
                <c:pt idx="104">
                  <c:v>56</c:v>
                </c:pt>
                <c:pt idx="105">
                  <c:v>70</c:v>
                </c:pt>
                <c:pt idx="106">
                  <c:v>51</c:v>
                </c:pt>
                <c:pt idx="107">
                  <c:v>65</c:v>
                </c:pt>
                <c:pt idx="108">
                  <c:v>43</c:v>
                </c:pt>
                <c:pt idx="109">
                  <c:v>45</c:v>
                </c:pt>
                <c:pt idx="110">
                  <c:v>86</c:v>
                </c:pt>
                <c:pt idx="111">
                  <c:v>69</c:v>
                </c:pt>
                <c:pt idx="112">
                  <c:v>56</c:v>
                </c:pt>
                <c:pt idx="113">
                  <c:v>70</c:v>
                </c:pt>
                <c:pt idx="114">
                  <c:v>93</c:v>
                </c:pt>
                <c:pt idx="115">
                  <c:v>74</c:v>
                </c:pt>
                <c:pt idx="116">
                  <c:v>89</c:v>
                </c:pt>
                <c:pt idx="117">
                  <c:v>84</c:v>
                </c:pt>
                <c:pt idx="118">
                  <c:v>46</c:v>
                </c:pt>
                <c:pt idx="119">
                  <c:v>87</c:v>
                </c:pt>
                <c:pt idx="120">
                  <c:v>94</c:v>
                </c:pt>
                <c:pt idx="121">
                  <c:v>43</c:v>
                </c:pt>
                <c:pt idx="122">
                  <c:v>98</c:v>
                </c:pt>
                <c:pt idx="123">
                  <c:v>97</c:v>
                </c:pt>
                <c:pt idx="124">
                  <c:v>55</c:v>
                </c:pt>
                <c:pt idx="125">
                  <c:v>82</c:v>
                </c:pt>
                <c:pt idx="126">
                  <c:v>79</c:v>
                </c:pt>
                <c:pt idx="127">
                  <c:v>84</c:v>
                </c:pt>
                <c:pt idx="128">
                  <c:v>45</c:v>
                </c:pt>
                <c:pt idx="129">
                  <c:v>93</c:v>
                </c:pt>
                <c:pt idx="130">
                  <c:v>52</c:v>
                </c:pt>
                <c:pt idx="131">
                  <c:v>100</c:v>
                </c:pt>
                <c:pt idx="132">
                  <c:v>50</c:v>
                </c:pt>
                <c:pt idx="133">
                  <c:v>76</c:v>
                </c:pt>
                <c:pt idx="134">
                  <c:v>73</c:v>
                </c:pt>
                <c:pt idx="135">
                  <c:v>87</c:v>
                </c:pt>
                <c:pt idx="136">
                  <c:v>100</c:v>
                </c:pt>
                <c:pt idx="137">
                  <c:v>76</c:v>
                </c:pt>
                <c:pt idx="138">
                  <c:v>67</c:v>
                </c:pt>
                <c:pt idx="139">
                  <c:v>63</c:v>
                </c:pt>
                <c:pt idx="140">
                  <c:v>73</c:v>
                </c:pt>
                <c:pt idx="141">
                  <c:v>85</c:v>
                </c:pt>
                <c:pt idx="142">
                  <c:v>99</c:v>
                </c:pt>
                <c:pt idx="143">
                  <c:v>44</c:v>
                </c:pt>
                <c:pt idx="144">
                  <c:v>45</c:v>
                </c:pt>
                <c:pt idx="145">
                  <c:v>56</c:v>
                </c:pt>
                <c:pt idx="146">
                  <c:v>52</c:v>
                </c:pt>
                <c:pt idx="147">
                  <c:v>49</c:v>
                </c:pt>
                <c:pt idx="148">
                  <c:v>56</c:v>
                </c:pt>
                <c:pt idx="149">
                  <c:v>64</c:v>
                </c:pt>
                <c:pt idx="150">
                  <c:v>99</c:v>
                </c:pt>
                <c:pt idx="151">
                  <c:v>65</c:v>
                </c:pt>
                <c:pt idx="152">
                  <c:v>66</c:v>
                </c:pt>
                <c:pt idx="153">
                  <c:v>82</c:v>
                </c:pt>
                <c:pt idx="154">
                  <c:v>96</c:v>
                </c:pt>
                <c:pt idx="155">
                  <c:v>67</c:v>
                </c:pt>
                <c:pt idx="156">
                  <c:v>83</c:v>
                </c:pt>
                <c:pt idx="157">
                  <c:v>77</c:v>
                </c:pt>
                <c:pt idx="158">
                  <c:v>55</c:v>
                </c:pt>
                <c:pt idx="159">
                  <c:v>76</c:v>
                </c:pt>
                <c:pt idx="160">
                  <c:v>73</c:v>
                </c:pt>
                <c:pt idx="161">
                  <c:v>51</c:v>
                </c:pt>
                <c:pt idx="162">
                  <c:v>85</c:v>
                </c:pt>
                <c:pt idx="163">
                  <c:v>64</c:v>
                </c:pt>
                <c:pt idx="164">
                  <c:v>94</c:v>
                </c:pt>
                <c:pt idx="165">
                  <c:v>98</c:v>
                </c:pt>
                <c:pt idx="166">
                  <c:v>72</c:v>
                </c:pt>
                <c:pt idx="167">
                  <c:v>100</c:v>
                </c:pt>
                <c:pt idx="168">
                  <c:v>89</c:v>
                </c:pt>
                <c:pt idx="169">
                  <c:v>80</c:v>
                </c:pt>
                <c:pt idx="170">
                  <c:v>80</c:v>
                </c:pt>
                <c:pt idx="171">
                  <c:v>43</c:v>
                </c:pt>
                <c:pt idx="172">
                  <c:v>51</c:v>
                </c:pt>
                <c:pt idx="173">
                  <c:v>69</c:v>
                </c:pt>
                <c:pt idx="174">
                  <c:v>52</c:v>
                </c:pt>
                <c:pt idx="175">
                  <c:v>52</c:v>
                </c:pt>
                <c:pt idx="176">
                  <c:v>96</c:v>
                </c:pt>
                <c:pt idx="177">
                  <c:v>81</c:v>
                </c:pt>
                <c:pt idx="178">
                  <c:v>70</c:v>
                </c:pt>
                <c:pt idx="179">
                  <c:v>60</c:v>
                </c:pt>
                <c:pt idx="180">
                  <c:v>67</c:v>
                </c:pt>
                <c:pt idx="181">
                  <c:v>72</c:v>
                </c:pt>
                <c:pt idx="182">
                  <c:v>56</c:v>
                </c:pt>
                <c:pt idx="183">
                  <c:v>70</c:v>
                </c:pt>
                <c:pt idx="184">
                  <c:v>79</c:v>
                </c:pt>
                <c:pt idx="185">
                  <c:v>74.5</c:v>
                </c:pt>
                <c:pt idx="186">
                  <c:v>68</c:v>
                </c:pt>
                <c:pt idx="187">
                  <c:v>92</c:v>
                </c:pt>
                <c:pt idx="188">
                  <c:v>86</c:v>
                </c:pt>
                <c:pt idx="189">
                  <c:v>54</c:v>
                </c:pt>
                <c:pt idx="190">
                  <c:v>85</c:v>
                </c:pt>
                <c:pt idx="191">
                  <c:v>50</c:v>
                </c:pt>
                <c:pt idx="192">
                  <c:v>50</c:v>
                </c:pt>
                <c:pt idx="193">
                  <c:v>56</c:v>
                </c:pt>
                <c:pt idx="194">
                  <c:v>68</c:v>
                </c:pt>
                <c:pt idx="195">
                  <c:v>75</c:v>
                </c:pt>
                <c:pt idx="196">
                  <c:v>49</c:v>
                </c:pt>
                <c:pt idx="197">
                  <c:v>69</c:v>
                </c:pt>
                <c:pt idx="198">
                  <c:v>61</c:v>
                </c:pt>
                <c:pt idx="199">
                  <c:v>98</c:v>
                </c:pt>
                <c:pt idx="200">
                  <c:v>71</c:v>
                </c:pt>
                <c:pt idx="201">
                  <c:v>74</c:v>
                </c:pt>
                <c:pt idx="202">
                  <c:v>43</c:v>
                </c:pt>
                <c:pt idx="203">
                  <c:v>95</c:v>
                </c:pt>
                <c:pt idx="204">
                  <c:v>64</c:v>
                </c:pt>
                <c:pt idx="205">
                  <c:v>46</c:v>
                </c:pt>
                <c:pt idx="206">
                  <c:v>54</c:v>
                </c:pt>
                <c:pt idx="207">
                  <c:v>94</c:v>
                </c:pt>
                <c:pt idx="208">
                  <c:v>91</c:v>
                </c:pt>
                <c:pt idx="209">
                  <c:v>45</c:v>
                </c:pt>
                <c:pt idx="210">
                  <c:v>48</c:v>
                </c:pt>
                <c:pt idx="211">
                  <c:v>71</c:v>
                </c:pt>
                <c:pt idx="212">
                  <c:v>75</c:v>
                </c:pt>
                <c:pt idx="213">
                  <c:v>84</c:v>
                </c:pt>
                <c:pt idx="214">
                  <c:v>84</c:v>
                </c:pt>
                <c:pt idx="215">
                  <c:v>63</c:v>
                </c:pt>
                <c:pt idx="216">
                  <c:v>93</c:v>
                </c:pt>
                <c:pt idx="217">
                  <c:v>54</c:v>
                </c:pt>
                <c:pt idx="218">
                  <c:v>73</c:v>
                </c:pt>
                <c:pt idx="219">
                  <c:v>88</c:v>
                </c:pt>
                <c:pt idx="220">
                  <c:v>87</c:v>
                </c:pt>
                <c:pt idx="221">
                  <c:v>49</c:v>
                </c:pt>
                <c:pt idx="222">
                  <c:v>84</c:v>
                </c:pt>
                <c:pt idx="223">
                  <c:v>77</c:v>
                </c:pt>
                <c:pt idx="224">
                  <c:v>98</c:v>
                </c:pt>
                <c:pt idx="225">
                  <c:v>59</c:v>
                </c:pt>
                <c:pt idx="226">
                  <c:v>64</c:v>
                </c:pt>
                <c:pt idx="227">
                  <c:v>65</c:v>
                </c:pt>
                <c:pt idx="228">
                  <c:v>87</c:v>
                </c:pt>
                <c:pt idx="229">
                  <c:v>97</c:v>
                </c:pt>
                <c:pt idx="230">
                  <c:v>74</c:v>
                </c:pt>
                <c:pt idx="231">
                  <c:v>55</c:v>
                </c:pt>
                <c:pt idx="232">
                  <c:v>46</c:v>
                </c:pt>
                <c:pt idx="233">
                  <c:v>55</c:v>
                </c:pt>
                <c:pt idx="234">
                  <c:v>54</c:v>
                </c:pt>
                <c:pt idx="235">
                  <c:v>45</c:v>
                </c:pt>
                <c:pt idx="236">
                  <c:v>87</c:v>
                </c:pt>
                <c:pt idx="237">
                  <c:v>53</c:v>
                </c:pt>
                <c:pt idx="238">
                  <c:v>100</c:v>
                </c:pt>
                <c:pt idx="239">
                  <c:v>86</c:v>
                </c:pt>
                <c:pt idx="240">
                  <c:v>73</c:v>
                </c:pt>
                <c:pt idx="241">
                  <c:v>88</c:v>
                </c:pt>
                <c:pt idx="242">
                  <c:v>94</c:v>
                </c:pt>
                <c:pt idx="243">
                  <c:v>52</c:v>
                </c:pt>
                <c:pt idx="244">
                  <c:v>96</c:v>
                </c:pt>
                <c:pt idx="245">
                  <c:v>93</c:v>
                </c:pt>
                <c:pt idx="246">
                  <c:v>82</c:v>
                </c:pt>
                <c:pt idx="247">
                  <c:v>62</c:v>
                </c:pt>
                <c:pt idx="248">
                  <c:v>98</c:v>
                </c:pt>
                <c:pt idx="249">
                  <c:v>82</c:v>
                </c:pt>
                <c:pt idx="250">
                  <c:v>69</c:v>
                </c:pt>
                <c:pt idx="251">
                  <c:v>51</c:v>
                </c:pt>
                <c:pt idx="252">
                  <c:v>93</c:v>
                </c:pt>
                <c:pt idx="253">
                  <c:v>59</c:v>
                </c:pt>
                <c:pt idx="254">
                  <c:v>64</c:v>
                </c:pt>
                <c:pt idx="255">
                  <c:v>54</c:v>
                </c:pt>
                <c:pt idx="256">
                  <c:v>42</c:v>
                </c:pt>
                <c:pt idx="257">
                  <c:v>46</c:v>
                </c:pt>
                <c:pt idx="258">
                  <c:v>56</c:v>
                </c:pt>
                <c:pt idx="259">
                  <c:v>80</c:v>
                </c:pt>
                <c:pt idx="260">
                  <c:v>45</c:v>
                </c:pt>
                <c:pt idx="261">
                  <c:v>92</c:v>
                </c:pt>
                <c:pt idx="262">
                  <c:v>97</c:v>
                </c:pt>
                <c:pt idx="263">
                  <c:v>79</c:v>
                </c:pt>
                <c:pt idx="264">
                  <c:v>81</c:v>
                </c:pt>
                <c:pt idx="265">
                  <c:v>96</c:v>
                </c:pt>
                <c:pt idx="266">
                  <c:v>73</c:v>
                </c:pt>
                <c:pt idx="267">
                  <c:v>74</c:v>
                </c:pt>
                <c:pt idx="268">
                  <c:v>57</c:v>
                </c:pt>
                <c:pt idx="269">
                  <c:v>52</c:v>
                </c:pt>
                <c:pt idx="270">
                  <c:v>50</c:v>
                </c:pt>
                <c:pt idx="271">
                  <c:v>54</c:v>
                </c:pt>
                <c:pt idx="272">
                  <c:v>98</c:v>
                </c:pt>
                <c:pt idx="273">
                  <c:v>66</c:v>
                </c:pt>
                <c:pt idx="274">
                  <c:v>93</c:v>
                </c:pt>
                <c:pt idx="275">
                  <c:v>79</c:v>
                </c:pt>
                <c:pt idx="276">
                  <c:v>95</c:v>
                </c:pt>
                <c:pt idx="277">
                  <c:v>64</c:v>
                </c:pt>
                <c:pt idx="278">
                  <c:v>69</c:v>
                </c:pt>
                <c:pt idx="279">
                  <c:v>100</c:v>
                </c:pt>
                <c:pt idx="280">
                  <c:v>92</c:v>
                </c:pt>
                <c:pt idx="281">
                  <c:v>58</c:v>
                </c:pt>
                <c:pt idx="282">
                  <c:v>67</c:v>
                </c:pt>
                <c:pt idx="283">
                  <c:v>72</c:v>
                </c:pt>
                <c:pt idx="284">
                  <c:v>85</c:v>
                </c:pt>
                <c:pt idx="285">
                  <c:v>42</c:v>
                </c:pt>
                <c:pt idx="286">
                  <c:v>64</c:v>
                </c:pt>
                <c:pt idx="287">
                  <c:v>95</c:v>
                </c:pt>
                <c:pt idx="288">
                  <c:v>69</c:v>
                </c:pt>
                <c:pt idx="289">
                  <c:v>73</c:v>
                </c:pt>
                <c:pt idx="290">
                  <c:v>75</c:v>
                </c:pt>
                <c:pt idx="291">
                  <c:v>41</c:v>
                </c:pt>
                <c:pt idx="292">
                  <c:v>88</c:v>
                </c:pt>
                <c:pt idx="293">
                  <c:v>73</c:v>
                </c:pt>
                <c:pt idx="294">
                  <c:v>84</c:v>
                </c:pt>
                <c:pt idx="295">
                  <c:v>82</c:v>
                </c:pt>
                <c:pt idx="296">
                  <c:v>76</c:v>
                </c:pt>
                <c:pt idx="297">
                  <c:v>45</c:v>
                </c:pt>
                <c:pt idx="298">
                  <c:v>98</c:v>
                </c:pt>
                <c:pt idx="299">
                  <c:v>72</c:v>
                </c:pt>
                <c:pt idx="300">
                  <c:v>87</c:v>
                </c:pt>
                <c:pt idx="301">
                  <c:v>83</c:v>
                </c:pt>
                <c:pt idx="302">
                  <c:v>71</c:v>
                </c:pt>
                <c:pt idx="303">
                  <c:v>49</c:v>
                </c:pt>
                <c:pt idx="304">
                  <c:v>71</c:v>
                </c:pt>
                <c:pt idx="305">
                  <c:v>75</c:v>
                </c:pt>
                <c:pt idx="306">
                  <c:v>60</c:v>
                </c:pt>
                <c:pt idx="307">
                  <c:v>52</c:v>
                </c:pt>
                <c:pt idx="308">
                  <c:v>54</c:v>
                </c:pt>
                <c:pt idx="309">
                  <c:v>46</c:v>
                </c:pt>
                <c:pt idx="310">
                  <c:v>68</c:v>
                </c:pt>
                <c:pt idx="311">
                  <c:v>97</c:v>
                </c:pt>
                <c:pt idx="312">
                  <c:v>55</c:v>
                </c:pt>
                <c:pt idx="313">
                  <c:v>60</c:v>
                </c:pt>
                <c:pt idx="314">
                  <c:v>85</c:v>
                </c:pt>
                <c:pt idx="315">
                  <c:v>71</c:v>
                </c:pt>
                <c:pt idx="316">
                  <c:v>64</c:v>
                </c:pt>
                <c:pt idx="317">
                  <c:v>51</c:v>
                </c:pt>
                <c:pt idx="318">
                  <c:v>85</c:v>
                </c:pt>
                <c:pt idx="319">
                  <c:v>76</c:v>
                </c:pt>
                <c:pt idx="320">
                  <c:v>42</c:v>
                </c:pt>
                <c:pt idx="321">
                  <c:v>72</c:v>
                </c:pt>
                <c:pt idx="322">
                  <c:v>58</c:v>
                </c:pt>
                <c:pt idx="323">
                  <c:v>84</c:v>
                </c:pt>
                <c:pt idx="324">
                  <c:v>58</c:v>
                </c:pt>
                <c:pt idx="325">
                  <c:v>47</c:v>
                </c:pt>
                <c:pt idx="326">
                  <c:v>100</c:v>
                </c:pt>
                <c:pt idx="327">
                  <c:v>41</c:v>
                </c:pt>
                <c:pt idx="328">
                  <c:v>100</c:v>
                </c:pt>
                <c:pt idx="329">
                  <c:v>78</c:v>
                </c:pt>
                <c:pt idx="330">
                  <c:v>40</c:v>
                </c:pt>
                <c:pt idx="331">
                  <c:v>58</c:v>
                </c:pt>
                <c:pt idx="332">
                  <c:v>44</c:v>
                </c:pt>
                <c:pt idx="333">
                  <c:v>60</c:v>
                </c:pt>
                <c:pt idx="334">
                  <c:v>45</c:v>
                </c:pt>
                <c:pt idx="335">
                  <c:v>94</c:v>
                </c:pt>
                <c:pt idx="336">
                  <c:v>87</c:v>
                </c:pt>
                <c:pt idx="337">
                  <c:v>42</c:v>
                </c:pt>
                <c:pt idx="338">
                  <c:v>100</c:v>
                </c:pt>
                <c:pt idx="339">
                  <c:v>79</c:v>
                </c:pt>
                <c:pt idx="340">
                  <c:v>75</c:v>
                </c:pt>
                <c:pt idx="341">
                  <c:v>50</c:v>
                </c:pt>
                <c:pt idx="342">
                  <c:v>91</c:v>
                </c:pt>
                <c:pt idx="343">
                  <c:v>89</c:v>
                </c:pt>
                <c:pt idx="344">
                  <c:v>41</c:v>
                </c:pt>
                <c:pt idx="345">
                  <c:v>62</c:v>
                </c:pt>
                <c:pt idx="346">
                  <c:v>42</c:v>
                </c:pt>
                <c:pt idx="347">
                  <c:v>94</c:v>
                </c:pt>
                <c:pt idx="348">
                  <c:v>99</c:v>
                </c:pt>
                <c:pt idx="349">
                  <c:v>71</c:v>
                </c:pt>
                <c:pt idx="350">
                  <c:v>66</c:v>
                </c:pt>
                <c:pt idx="351">
                  <c:v>47</c:v>
                </c:pt>
                <c:pt idx="352">
                  <c:v>98</c:v>
                </c:pt>
                <c:pt idx="353">
                  <c:v>43</c:v>
                </c:pt>
                <c:pt idx="354">
                  <c:v>52</c:v>
                </c:pt>
                <c:pt idx="355">
                  <c:v>80</c:v>
                </c:pt>
                <c:pt idx="356">
                  <c:v>62</c:v>
                </c:pt>
                <c:pt idx="357">
                  <c:v>78</c:v>
                </c:pt>
                <c:pt idx="358">
                  <c:v>82</c:v>
                </c:pt>
                <c:pt idx="359">
                  <c:v>82</c:v>
                </c:pt>
                <c:pt idx="360">
                  <c:v>78</c:v>
                </c:pt>
                <c:pt idx="361">
                  <c:v>91</c:v>
                </c:pt>
                <c:pt idx="362">
                  <c:v>72</c:v>
                </c:pt>
                <c:pt idx="363">
                  <c:v>43</c:v>
                </c:pt>
                <c:pt idx="364">
                  <c:v>87</c:v>
                </c:pt>
                <c:pt idx="365">
                  <c:v>84</c:v>
                </c:pt>
                <c:pt idx="366">
                  <c:v>43</c:v>
                </c:pt>
                <c:pt idx="367">
                  <c:v>64</c:v>
                </c:pt>
                <c:pt idx="368">
                  <c:v>55</c:v>
                </c:pt>
                <c:pt idx="369">
                  <c:v>82</c:v>
                </c:pt>
                <c:pt idx="370">
                  <c:v>53</c:v>
                </c:pt>
                <c:pt idx="371">
                  <c:v>57</c:v>
                </c:pt>
                <c:pt idx="372">
                  <c:v>71</c:v>
                </c:pt>
                <c:pt idx="373">
                  <c:v>76</c:v>
                </c:pt>
                <c:pt idx="374">
                  <c:v>48</c:v>
                </c:pt>
                <c:pt idx="375">
                  <c:v>98</c:v>
                </c:pt>
                <c:pt idx="376">
                  <c:v>47</c:v>
                </c:pt>
                <c:pt idx="377">
                  <c:v>56</c:v>
                </c:pt>
                <c:pt idx="378">
                  <c:v>46</c:v>
                </c:pt>
                <c:pt idx="379">
                  <c:v>70</c:v>
                </c:pt>
                <c:pt idx="380">
                  <c:v>49</c:v>
                </c:pt>
                <c:pt idx="381">
                  <c:v>61</c:v>
                </c:pt>
                <c:pt idx="382">
                  <c:v>48</c:v>
                </c:pt>
                <c:pt idx="383">
                  <c:v>75</c:v>
                </c:pt>
                <c:pt idx="384">
                  <c:v>54</c:v>
                </c:pt>
                <c:pt idx="385">
                  <c:v>58</c:v>
                </c:pt>
                <c:pt idx="386">
                  <c:v>64</c:v>
                </c:pt>
                <c:pt idx="387">
                  <c:v>54</c:v>
                </c:pt>
                <c:pt idx="388">
                  <c:v>46</c:v>
                </c:pt>
                <c:pt idx="389">
                  <c:v>63</c:v>
                </c:pt>
                <c:pt idx="390">
                  <c:v>87</c:v>
                </c:pt>
                <c:pt idx="391">
                  <c:v>100</c:v>
                </c:pt>
                <c:pt idx="392">
                  <c:v>95</c:v>
                </c:pt>
                <c:pt idx="393">
                  <c:v>94</c:v>
                </c:pt>
                <c:pt idx="394">
                  <c:v>57</c:v>
                </c:pt>
                <c:pt idx="395">
                  <c:v>53</c:v>
                </c:pt>
                <c:pt idx="396">
                  <c:v>94</c:v>
                </c:pt>
                <c:pt idx="397">
                  <c:v>69</c:v>
                </c:pt>
                <c:pt idx="398">
                  <c:v>56</c:v>
                </c:pt>
                <c:pt idx="399">
                  <c:v>78</c:v>
                </c:pt>
                <c:pt idx="400">
                  <c:v>50</c:v>
                </c:pt>
                <c:pt idx="401">
                  <c:v>46</c:v>
                </c:pt>
                <c:pt idx="402">
                  <c:v>91</c:v>
                </c:pt>
                <c:pt idx="403">
                  <c:v>79</c:v>
                </c:pt>
                <c:pt idx="404">
                  <c:v>74</c:v>
                </c:pt>
                <c:pt idx="405">
                  <c:v>69</c:v>
                </c:pt>
                <c:pt idx="406">
                  <c:v>73</c:v>
                </c:pt>
                <c:pt idx="407">
                  <c:v>92</c:v>
                </c:pt>
                <c:pt idx="408">
                  <c:v>68</c:v>
                </c:pt>
                <c:pt idx="409">
                  <c:v>69</c:v>
                </c:pt>
                <c:pt idx="410">
                  <c:v>76</c:v>
                </c:pt>
                <c:pt idx="411">
                  <c:v>57</c:v>
                </c:pt>
                <c:pt idx="412">
                  <c:v>53</c:v>
                </c:pt>
                <c:pt idx="413">
                  <c:v>99</c:v>
                </c:pt>
                <c:pt idx="414">
                  <c:v>90</c:v>
                </c:pt>
                <c:pt idx="415">
                  <c:v>57</c:v>
                </c:pt>
                <c:pt idx="416">
                  <c:v>69</c:v>
                </c:pt>
                <c:pt idx="417">
                  <c:v>69</c:v>
                </c:pt>
                <c:pt idx="418">
                  <c:v>43</c:v>
                </c:pt>
                <c:pt idx="419">
                  <c:v>52</c:v>
                </c:pt>
                <c:pt idx="420">
                  <c:v>66</c:v>
                </c:pt>
                <c:pt idx="421">
                  <c:v>56</c:v>
                </c:pt>
                <c:pt idx="422">
                  <c:v>49</c:v>
                </c:pt>
                <c:pt idx="423">
                  <c:v>86</c:v>
                </c:pt>
                <c:pt idx="424">
                  <c:v>56</c:v>
                </c:pt>
                <c:pt idx="425">
                  <c:v>64</c:v>
                </c:pt>
                <c:pt idx="426">
                  <c:v>95</c:v>
                </c:pt>
                <c:pt idx="427">
                  <c:v>67</c:v>
                </c:pt>
                <c:pt idx="428">
                  <c:v>44</c:v>
                </c:pt>
                <c:pt idx="429">
                  <c:v>64</c:v>
                </c:pt>
                <c:pt idx="430">
                  <c:v>63</c:v>
                </c:pt>
                <c:pt idx="431">
                  <c:v>94</c:v>
                </c:pt>
                <c:pt idx="432">
                  <c:v>56</c:v>
                </c:pt>
                <c:pt idx="433">
                  <c:v>92</c:v>
                </c:pt>
                <c:pt idx="434">
                  <c:v>62</c:v>
                </c:pt>
                <c:pt idx="435">
                  <c:v>79</c:v>
                </c:pt>
                <c:pt idx="436">
                  <c:v>84</c:v>
                </c:pt>
                <c:pt idx="437">
                  <c:v>82</c:v>
                </c:pt>
                <c:pt idx="438">
                  <c:v>80</c:v>
                </c:pt>
                <c:pt idx="439">
                  <c:v>43</c:v>
                </c:pt>
                <c:pt idx="440">
                  <c:v>65</c:v>
                </c:pt>
                <c:pt idx="441">
                  <c:v>46</c:v>
                </c:pt>
                <c:pt idx="442">
                  <c:v>56</c:v>
                </c:pt>
                <c:pt idx="443">
                  <c:v>79</c:v>
                </c:pt>
                <c:pt idx="444">
                  <c:v>51</c:v>
                </c:pt>
                <c:pt idx="445">
                  <c:v>80</c:v>
                </c:pt>
                <c:pt idx="446">
                  <c:v>72</c:v>
                </c:pt>
                <c:pt idx="447">
                  <c:v>57</c:v>
                </c:pt>
                <c:pt idx="448">
                  <c:v>88</c:v>
                </c:pt>
                <c:pt idx="449">
                  <c:v>52</c:v>
                </c:pt>
                <c:pt idx="450">
                  <c:v>74</c:v>
                </c:pt>
                <c:pt idx="451">
                  <c:v>82</c:v>
                </c:pt>
                <c:pt idx="452">
                  <c:v>91</c:v>
                </c:pt>
                <c:pt idx="453">
                  <c:v>62</c:v>
                </c:pt>
                <c:pt idx="454">
                  <c:v>71</c:v>
                </c:pt>
                <c:pt idx="455">
                  <c:v>95</c:v>
                </c:pt>
                <c:pt idx="456">
                  <c:v>92</c:v>
                </c:pt>
                <c:pt idx="457">
                  <c:v>63</c:v>
                </c:pt>
                <c:pt idx="458">
                  <c:v>85</c:v>
                </c:pt>
                <c:pt idx="459">
                  <c:v>61</c:v>
                </c:pt>
                <c:pt idx="460">
                  <c:v>41</c:v>
                </c:pt>
                <c:pt idx="461">
                  <c:v>99</c:v>
                </c:pt>
                <c:pt idx="462">
                  <c:v>100</c:v>
                </c:pt>
                <c:pt idx="463">
                  <c:v>42</c:v>
                </c:pt>
                <c:pt idx="464">
                  <c:v>87</c:v>
                </c:pt>
                <c:pt idx="465">
                  <c:v>68</c:v>
                </c:pt>
                <c:pt idx="466">
                  <c:v>41</c:v>
                </c:pt>
                <c:pt idx="467">
                  <c:v>98</c:v>
                </c:pt>
                <c:pt idx="468">
                  <c:v>45</c:v>
                </c:pt>
                <c:pt idx="469">
                  <c:v>88</c:v>
                </c:pt>
                <c:pt idx="470">
                  <c:v>70</c:v>
                </c:pt>
                <c:pt idx="471">
                  <c:v>67</c:v>
                </c:pt>
                <c:pt idx="472">
                  <c:v>58</c:v>
                </c:pt>
                <c:pt idx="473">
                  <c:v>91</c:v>
                </c:pt>
                <c:pt idx="474">
                  <c:v>82</c:v>
                </c:pt>
                <c:pt idx="475">
                  <c:v>67</c:v>
                </c:pt>
                <c:pt idx="476">
                  <c:v>61</c:v>
                </c:pt>
                <c:pt idx="477">
                  <c:v>90</c:v>
                </c:pt>
                <c:pt idx="478">
                  <c:v>88</c:v>
                </c:pt>
                <c:pt idx="479">
                  <c:v>89</c:v>
                </c:pt>
                <c:pt idx="480">
                  <c:v>84</c:v>
                </c:pt>
                <c:pt idx="481">
                  <c:v>49</c:v>
                </c:pt>
                <c:pt idx="482">
                  <c:v>85</c:v>
                </c:pt>
                <c:pt idx="483">
                  <c:v>73</c:v>
                </c:pt>
                <c:pt idx="484">
                  <c:v>99</c:v>
                </c:pt>
                <c:pt idx="485">
                  <c:v>40</c:v>
                </c:pt>
                <c:pt idx="486">
                  <c:v>93</c:v>
                </c:pt>
                <c:pt idx="487">
                  <c:v>95</c:v>
                </c:pt>
                <c:pt idx="488">
                  <c:v>71</c:v>
                </c:pt>
                <c:pt idx="489">
                  <c:v>59</c:v>
                </c:pt>
                <c:pt idx="490">
                  <c:v>77</c:v>
                </c:pt>
                <c:pt idx="491">
                  <c:v>50</c:v>
                </c:pt>
                <c:pt idx="492">
                  <c:v>90</c:v>
                </c:pt>
                <c:pt idx="493">
                  <c:v>71</c:v>
                </c:pt>
                <c:pt idx="494">
                  <c:v>78</c:v>
                </c:pt>
                <c:pt idx="495">
                  <c:v>85</c:v>
                </c:pt>
                <c:pt idx="496">
                  <c:v>68</c:v>
                </c:pt>
                <c:pt idx="497">
                  <c:v>50</c:v>
                </c:pt>
                <c:pt idx="498">
                  <c:v>74</c:v>
                </c:pt>
                <c:pt idx="499">
                  <c:v>51</c:v>
                </c:pt>
                <c:pt idx="500">
                  <c:v>70</c:v>
                </c:pt>
                <c:pt idx="501">
                  <c:v>97</c:v>
                </c:pt>
                <c:pt idx="502">
                  <c:v>71</c:v>
                </c:pt>
                <c:pt idx="503">
                  <c:v>87</c:v>
                </c:pt>
                <c:pt idx="504">
                  <c:v>47</c:v>
                </c:pt>
                <c:pt idx="505">
                  <c:v>71</c:v>
                </c:pt>
                <c:pt idx="506">
                  <c:v>88</c:v>
                </c:pt>
                <c:pt idx="507">
                  <c:v>63</c:v>
                </c:pt>
                <c:pt idx="508">
                  <c:v>81</c:v>
                </c:pt>
                <c:pt idx="509">
                  <c:v>89</c:v>
                </c:pt>
                <c:pt idx="510">
                  <c:v>74</c:v>
                </c:pt>
                <c:pt idx="511">
                  <c:v>55</c:v>
                </c:pt>
                <c:pt idx="512">
                  <c:v>99</c:v>
                </c:pt>
                <c:pt idx="513">
                  <c:v>62</c:v>
                </c:pt>
                <c:pt idx="514">
                  <c:v>74</c:v>
                </c:pt>
                <c:pt idx="515">
                  <c:v>41</c:v>
                </c:pt>
                <c:pt idx="516">
                  <c:v>68</c:v>
                </c:pt>
                <c:pt idx="517">
                  <c:v>77</c:v>
                </c:pt>
                <c:pt idx="518">
                  <c:v>96</c:v>
                </c:pt>
                <c:pt idx="519">
                  <c:v>83</c:v>
                </c:pt>
                <c:pt idx="520">
                  <c:v>67</c:v>
                </c:pt>
                <c:pt idx="521">
                  <c:v>57</c:v>
                </c:pt>
                <c:pt idx="522">
                  <c:v>70</c:v>
                </c:pt>
                <c:pt idx="523">
                  <c:v>76</c:v>
                </c:pt>
                <c:pt idx="524">
                  <c:v>81</c:v>
                </c:pt>
                <c:pt idx="525">
                  <c:v>70</c:v>
                </c:pt>
                <c:pt idx="526">
                  <c:v>76</c:v>
                </c:pt>
                <c:pt idx="527">
                  <c:v>60</c:v>
                </c:pt>
                <c:pt idx="528">
                  <c:v>41</c:v>
                </c:pt>
                <c:pt idx="529">
                  <c:v>56</c:v>
                </c:pt>
                <c:pt idx="530">
                  <c:v>57</c:v>
                </c:pt>
                <c:pt idx="531">
                  <c:v>86</c:v>
                </c:pt>
                <c:pt idx="532">
                  <c:v>64</c:v>
                </c:pt>
                <c:pt idx="533">
                  <c:v>49</c:v>
                </c:pt>
                <c:pt idx="534">
                  <c:v>79</c:v>
                </c:pt>
                <c:pt idx="535">
                  <c:v>50</c:v>
                </c:pt>
                <c:pt idx="536">
                  <c:v>60</c:v>
                </c:pt>
                <c:pt idx="537">
                  <c:v>68</c:v>
                </c:pt>
                <c:pt idx="538">
                  <c:v>48</c:v>
                </c:pt>
                <c:pt idx="539">
                  <c:v>45</c:v>
                </c:pt>
                <c:pt idx="540">
                  <c:v>83</c:v>
                </c:pt>
                <c:pt idx="541">
                  <c:v>73</c:v>
                </c:pt>
                <c:pt idx="542">
                  <c:v>76</c:v>
                </c:pt>
                <c:pt idx="543">
                  <c:v>85</c:v>
                </c:pt>
                <c:pt idx="544">
                  <c:v>99</c:v>
                </c:pt>
                <c:pt idx="545">
                  <c:v>40</c:v>
                </c:pt>
                <c:pt idx="546">
                  <c:v>95</c:v>
                </c:pt>
                <c:pt idx="547">
                  <c:v>52</c:v>
                </c:pt>
                <c:pt idx="548">
                  <c:v>58</c:v>
                </c:pt>
                <c:pt idx="549">
                  <c:v>76</c:v>
                </c:pt>
                <c:pt idx="550">
                  <c:v>71</c:v>
                </c:pt>
                <c:pt idx="551">
                  <c:v>68</c:v>
                </c:pt>
                <c:pt idx="552">
                  <c:v>79</c:v>
                </c:pt>
                <c:pt idx="553">
                  <c:v>47</c:v>
                </c:pt>
                <c:pt idx="554">
                  <c:v>66</c:v>
                </c:pt>
                <c:pt idx="555">
                  <c:v>81</c:v>
                </c:pt>
                <c:pt idx="556">
                  <c:v>49</c:v>
                </c:pt>
                <c:pt idx="557">
                  <c:v>100</c:v>
                </c:pt>
                <c:pt idx="558">
                  <c:v>73</c:v>
                </c:pt>
                <c:pt idx="559">
                  <c:v>65</c:v>
                </c:pt>
                <c:pt idx="560">
                  <c:v>73</c:v>
                </c:pt>
                <c:pt idx="561">
                  <c:v>90</c:v>
                </c:pt>
                <c:pt idx="562">
                  <c:v>47</c:v>
                </c:pt>
                <c:pt idx="563">
                  <c:v>77</c:v>
                </c:pt>
                <c:pt idx="564">
                  <c:v>97</c:v>
                </c:pt>
                <c:pt idx="565">
                  <c:v>64</c:v>
                </c:pt>
                <c:pt idx="566">
                  <c:v>47</c:v>
                </c:pt>
                <c:pt idx="567">
                  <c:v>94</c:v>
                </c:pt>
                <c:pt idx="568">
                  <c:v>96</c:v>
                </c:pt>
                <c:pt idx="569">
                  <c:v>53</c:v>
                </c:pt>
                <c:pt idx="570">
                  <c:v>62.5</c:v>
                </c:pt>
                <c:pt idx="571">
                  <c:v>46</c:v>
                </c:pt>
                <c:pt idx="572">
                  <c:v>84</c:v>
                </c:pt>
                <c:pt idx="573">
                  <c:v>61</c:v>
                </c:pt>
                <c:pt idx="574">
                  <c:v>77</c:v>
                </c:pt>
                <c:pt idx="575">
                  <c:v>84</c:v>
                </c:pt>
                <c:pt idx="576">
                  <c:v>90</c:v>
                </c:pt>
                <c:pt idx="577">
                  <c:v>48</c:v>
                </c:pt>
                <c:pt idx="578">
                  <c:v>68</c:v>
                </c:pt>
                <c:pt idx="579">
                  <c:v>56</c:v>
                </c:pt>
                <c:pt idx="580">
                  <c:v>51</c:v>
                </c:pt>
                <c:pt idx="581">
                  <c:v>44</c:v>
                </c:pt>
                <c:pt idx="582">
                  <c:v>89</c:v>
                </c:pt>
                <c:pt idx="583">
                  <c:v>99</c:v>
                </c:pt>
                <c:pt idx="584">
                  <c:v>46</c:v>
                </c:pt>
                <c:pt idx="585">
                  <c:v>77</c:v>
                </c:pt>
                <c:pt idx="586">
                  <c:v>53</c:v>
                </c:pt>
                <c:pt idx="587">
                  <c:v>52</c:v>
                </c:pt>
                <c:pt idx="588">
                  <c:v>59</c:v>
                </c:pt>
                <c:pt idx="589">
                  <c:v>51</c:v>
                </c:pt>
                <c:pt idx="590">
                  <c:v>45</c:v>
                </c:pt>
                <c:pt idx="591">
                  <c:v>78</c:v>
                </c:pt>
                <c:pt idx="592">
                  <c:v>63</c:v>
                </c:pt>
                <c:pt idx="593">
                  <c:v>76</c:v>
                </c:pt>
                <c:pt idx="594">
                  <c:v>56</c:v>
                </c:pt>
                <c:pt idx="595">
                  <c:v>48</c:v>
                </c:pt>
                <c:pt idx="596">
                  <c:v>89</c:v>
                </c:pt>
                <c:pt idx="597">
                  <c:v>48</c:v>
                </c:pt>
                <c:pt idx="598">
                  <c:v>49</c:v>
                </c:pt>
                <c:pt idx="599">
                  <c:v>49</c:v>
                </c:pt>
                <c:pt idx="600">
                  <c:v>82</c:v>
                </c:pt>
                <c:pt idx="601">
                  <c:v>95</c:v>
                </c:pt>
                <c:pt idx="602">
                  <c:v>81</c:v>
                </c:pt>
                <c:pt idx="603">
                  <c:v>41</c:v>
                </c:pt>
                <c:pt idx="604">
                  <c:v>42</c:v>
                </c:pt>
                <c:pt idx="605">
                  <c:v>79</c:v>
                </c:pt>
                <c:pt idx="606">
                  <c:v>57</c:v>
                </c:pt>
                <c:pt idx="607">
                  <c:v>90</c:v>
                </c:pt>
                <c:pt idx="608">
                  <c:v>65</c:v>
                </c:pt>
                <c:pt idx="609">
                  <c:v>91</c:v>
                </c:pt>
                <c:pt idx="610">
                  <c:v>51</c:v>
                </c:pt>
                <c:pt idx="611">
                  <c:v>90</c:v>
                </c:pt>
                <c:pt idx="612">
                  <c:v>83</c:v>
                </c:pt>
                <c:pt idx="613">
                  <c:v>89</c:v>
                </c:pt>
                <c:pt idx="614">
                  <c:v>56</c:v>
                </c:pt>
                <c:pt idx="615">
                  <c:v>41</c:v>
                </c:pt>
                <c:pt idx="616">
                  <c:v>58</c:v>
                </c:pt>
                <c:pt idx="617">
                  <c:v>75</c:v>
                </c:pt>
                <c:pt idx="618">
                  <c:v>64</c:v>
                </c:pt>
                <c:pt idx="619">
                  <c:v>42</c:v>
                </c:pt>
                <c:pt idx="620">
                  <c:v>44</c:v>
                </c:pt>
                <c:pt idx="621">
                  <c:v>64</c:v>
                </c:pt>
                <c:pt idx="622">
                  <c:v>85</c:v>
                </c:pt>
                <c:pt idx="623">
                  <c:v>100</c:v>
                </c:pt>
                <c:pt idx="624">
                  <c:v>81</c:v>
                </c:pt>
                <c:pt idx="625">
                  <c:v>56</c:v>
                </c:pt>
                <c:pt idx="626">
                  <c:v>68</c:v>
                </c:pt>
                <c:pt idx="627">
                  <c:v>70</c:v>
                </c:pt>
                <c:pt idx="628">
                  <c:v>71</c:v>
                </c:pt>
                <c:pt idx="629">
                  <c:v>94</c:v>
                </c:pt>
                <c:pt idx="630">
                  <c:v>97</c:v>
                </c:pt>
                <c:pt idx="631">
                  <c:v>50</c:v>
                </c:pt>
                <c:pt idx="632">
                  <c:v>49</c:v>
                </c:pt>
                <c:pt idx="633">
                  <c:v>63</c:v>
                </c:pt>
                <c:pt idx="634">
                  <c:v>65</c:v>
                </c:pt>
                <c:pt idx="635">
                  <c:v>82</c:v>
                </c:pt>
                <c:pt idx="636">
                  <c:v>66</c:v>
                </c:pt>
                <c:pt idx="637">
                  <c:v>74</c:v>
                </c:pt>
                <c:pt idx="638">
                  <c:v>50</c:v>
                </c:pt>
                <c:pt idx="639">
                  <c:v>94</c:v>
                </c:pt>
                <c:pt idx="640">
                  <c:v>91</c:v>
                </c:pt>
                <c:pt idx="641">
                  <c:v>68</c:v>
                </c:pt>
                <c:pt idx="642">
                  <c:v>68</c:v>
                </c:pt>
                <c:pt idx="643">
                  <c:v>69</c:v>
                </c:pt>
                <c:pt idx="644">
                  <c:v>53</c:v>
                </c:pt>
                <c:pt idx="645">
                  <c:v>66</c:v>
                </c:pt>
                <c:pt idx="646">
                  <c:v>84</c:v>
                </c:pt>
                <c:pt idx="647">
                  <c:v>77</c:v>
                </c:pt>
                <c:pt idx="648">
                  <c:v>85</c:v>
                </c:pt>
                <c:pt idx="649">
                  <c:v>58</c:v>
                </c:pt>
                <c:pt idx="650">
                  <c:v>60</c:v>
                </c:pt>
                <c:pt idx="651">
                  <c:v>74</c:v>
                </c:pt>
                <c:pt idx="652">
                  <c:v>74</c:v>
                </c:pt>
                <c:pt idx="653">
                  <c:v>40</c:v>
                </c:pt>
                <c:pt idx="654">
                  <c:v>95</c:v>
                </c:pt>
                <c:pt idx="655">
                  <c:v>52</c:v>
                </c:pt>
                <c:pt idx="656">
                  <c:v>76</c:v>
                </c:pt>
                <c:pt idx="657">
                  <c:v>92</c:v>
                </c:pt>
                <c:pt idx="658">
                  <c:v>88</c:v>
                </c:pt>
                <c:pt idx="659">
                  <c:v>82</c:v>
                </c:pt>
                <c:pt idx="660">
                  <c:v>42</c:v>
                </c:pt>
                <c:pt idx="661">
                  <c:v>96</c:v>
                </c:pt>
                <c:pt idx="662">
                  <c:v>49</c:v>
                </c:pt>
                <c:pt idx="663">
                  <c:v>78</c:v>
                </c:pt>
                <c:pt idx="664">
                  <c:v>67</c:v>
                </c:pt>
                <c:pt idx="665">
                  <c:v>57</c:v>
                </c:pt>
                <c:pt idx="666">
                  <c:v>70</c:v>
                </c:pt>
                <c:pt idx="667">
                  <c:v>64</c:v>
                </c:pt>
                <c:pt idx="668">
                  <c:v>48</c:v>
                </c:pt>
                <c:pt idx="669">
                  <c:v>41</c:v>
                </c:pt>
                <c:pt idx="670">
                  <c:v>86</c:v>
                </c:pt>
                <c:pt idx="671">
                  <c:v>51</c:v>
                </c:pt>
                <c:pt idx="672">
                  <c:v>63</c:v>
                </c:pt>
                <c:pt idx="673">
                  <c:v>99</c:v>
                </c:pt>
                <c:pt idx="674">
                  <c:v>85</c:v>
                </c:pt>
                <c:pt idx="675">
                  <c:v>65</c:v>
                </c:pt>
                <c:pt idx="676">
                  <c:v>40</c:v>
                </c:pt>
                <c:pt idx="677">
                  <c:v>79</c:v>
                </c:pt>
                <c:pt idx="678">
                  <c:v>40</c:v>
                </c:pt>
                <c:pt idx="679">
                  <c:v>71</c:v>
                </c:pt>
                <c:pt idx="680">
                  <c:v>73</c:v>
                </c:pt>
                <c:pt idx="681">
                  <c:v>75</c:v>
                </c:pt>
                <c:pt idx="682">
                  <c:v>63</c:v>
                </c:pt>
                <c:pt idx="683">
                  <c:v>97</c:v>
                </c:pt>
                <c:pt idx="684">
                  <c:v>85</c:v>
                </c:pt>
                <c:pt idx="685">
                  <c:v>88</c:v>
                </c:pt>
                <c:pt idx="686">
                  <c:v>84</c:v>
                </c:pt>
                <c:pt idx="687">
                  <c:v>69</c:v>
                </c:pt>
                <c:pt idx="688">
                  <c:v>93</c:v>
                </c:pt>
                <c:pt idx="689">
                  <c:v>42</c:v>
                </c:pt>
                <c:pt idx="690">
                  <c:v>81</c:v>
                </c:pt>
                <c:pt idx="691">
                  <c:v>61</c:v>
                </c:pt>
                <c:pt idx="692">
                  <c:v>60</c:v>
                </c:pt>
                <c:pt idx="693">
                  <c:v>45</c:v>
                </c:pt>
                <c:pt idx="694">
                  <c:v>71</c:v>
                </c:pt>
                <c:pt idx="695">
                  <c:v>68</c:v>
                </c:pt>
                <c:pt idx="696">
                  <c:v>57</c:v>
                </c:pt>
                <c:pt idx="697">
                  <c:v>51</c:v>
                </c:pt>
                <c:pt idx="698">
                  <c:v>81</c:v>
                </c:pt>
                <c:pt idx="699">
                  <c:v>70</c:v>
                </c:pt>
                <c:pt idx="700">
                  <c:v>76</c:v>
                </c:pt>
                <c:pt idx="701">
                  <c:v>42</c:v>
                </c:pt>
                <c:pt idx="702">
                  <c:v>96</c:v>
                </c:pt>
                <c:pt idx="703">
                  <c:v>70</c:v>
                </c:pt>
                <c:pt idx="704">
                  <c:v>96</c:v>
                </c:pt>
                <c:pt idx="705">
                  <c:v>58</c:v>
                </c:pt>
                <c:pt idx="706">
                  <c:v>60</c:v>
                </c:pt>
                <c:pt idx="707">
                  <c:v>81</c:v>
                </c:pt>
                <c:pt idx="708">
                  <c:v>55</c:v>
                </c:pt>
                <c:pt idx="709">
                  <c:v>67</c:v>
                </c:pt>
                <c:pt idx="710">
                  <c:v>62</c:v>
                </c:pt>
                <c:pt idx="711">
                  <c:v>46</c:v>
                </c:pt>
                <c:pt idx="712">
                  <c:v>68</c:v>
                </c:pt>
                <c:pt idx="713">
                  <c:v>95</c:v>
                </c:pt>
                <c:pt idx="714">
                  <c:v>66</c:v>
                </c:pt>
                <c:pt idx="715">
                  <c:v>76</c:v>
                </c:pt>
                <c:pt idx="716">
                  <c:v>55</c:v>
                </c:pt>
                <c:pt idx="717">
                  <c:v>53</c:v>
                </c:pt>
                <c:pt idx="718">
                  <c:v>99</c:v>
                </c:pt>
                <c:pt idx="719">
                  <c:v>88</c:v>
                </c:pt>
                <c:pt idx="720">
                  <c:v>57</c:v>
                </c:pt>
                <c:pt idx="721">
                  <c:v>77</c:v>
                </c:pt>
                <c:pt idx="722">
                  <c:v>92</c:v>
                </c:pt>
                <c:pt idx="723">
                  <c:v>69</c:v>
                </c:pt>
                <c:pt idx="724">
                  <c:v>61</c:v>
                </c:pt>
                <c:pt idx="725">
                  <c:v>63</c:v>
                </c:pt>
                <c:pt idx="726">
                  <c:v>59</c:v>
                </c:pt>
                <c:pt idx="727">
                  <c:v>56</c:v>
                </c:pt>
                <c:pt idx="728">
                  <c:v>70</c:v>
                </c:pt>
                <c:pt idx="729">
                  <c:v>68.5</c:v>
                </c:pt>
                <c:pt idx="730">
                  <c:v>85</c:v>
                </c:pt>
                <c:pt idx="731">
                  <c:v>90</c:v>
                </c:pt>
                <c:pt idx="732">
                  <c:v>91</c:v>
                </c:pt>
                <c:pt idx="733">
                  <c:v>80</c:v>
                </c:pt>
                <c:pt idx="734">
                  <c:v>97</c:v>
                </c:pt>
                <c:pt idx="735">
                  <c:v>69</c:v>
                </c:pt>
                <c:pt idx="736">
                  <c:v>61</c:v>
                </c:pt>
                <c:pt idx="737">
                  <c:v>91</c:v>
                </c:pt>
                <c:pt idx="738">
                  <c:v>53</c:v>
                </c:pt>
                <c:pt idx="739">
                  <c:v>42</c:v>
                </c:pt>
                <c:pt idx="740">
                  <c:v>76</c:v>
                </c:pt>
                <c:pt idx="741">
                  <c:v>52</c:v>
                </c:pt>
                <c:pt idx="742">
                  <c:v>98</c:v>
                </c:pt>
                <c:pt idx="743">
                  <c:v>87</c:v>
                </c:pt>
                <c:pt idx="744">
                  <c:v>88</c:v>
                </c:pt>
                <c:pt idx="745">
                  <c:v>47</c:v>
                </c:pt>
                <c:pt idx="746">
                  <c:v>85</c:v>
                </c:pt>
                <c:pt idx="747">
                  <c:v>43</c:v>
                </c:pt>
                <c:pt idx="748">
                  <c:v>44</c:v>
                </c:pt>
                <c:pt idx="749">
                  <c:v>96</c:v>
                </c:pt>
                <c:pt idx="750">
                  <c:v>77</c:v>
                </c:pt>
                <c:pt idx="751">
                  <c:v>48</c:v>
                </c:pt>
                <c:pt idx="752">
                  <c:v>62</c:v>
                </c:pt>
                <c:pt idx="753">
                  <c:v>93</c:v>
                </c:pt>
                <c:pt idx="754">
                  <c:v>81</c:v>
                </c:pt>
                <c:pt idx="755">
                  <c:v>60</c:v>
                </c:pt>
                <c:pt idx="756">
                  <c:v>95</c:v>
                </c:pt>
                <c:pt idx="757">
                  <c:v>83</c:v>
                </c:pt>
                <c:pt idx="758">
                  <c:v>45</c:v>
                </c:pt>
                <c:pt idx="759">
                  <c:v>74</c:v>
                </c:pt>
                <c:pt idx="760">
                  <c:v>53</c:v>
                </c:pt>
                <c:pt idx="761">
                  <c:v>72</c:v>
                </c:pt>
                <c:pt idx="762">
                  <c:v>49</c:v>
                </c:pt>
                <c:pt idx="763">
                  <c:v>48</c:v>
                </c:pt>
                <c:pt idx="764">
                  <c:v>56</c:v>
                </c:pt>
                <c:pt idx="765">
                  <c:v>79</c:v>
                </c:pt>
                <c:pt idx="766">
                  <c:v>95</c:v>
                </c:pt>
                <c:pt idx="767">
                  <c:v>89</c:v>
                </c:pt>
                <c:pt idx="768">
                  <c:v>75</c:v>
                </c:pt>
                <c:pt idx="769">
                  <c:v>95</c:v>
                </c:pt>
                <c:pt idx="770">
                  <c:v>59</c:v>
                </c:pt>
                <c:pt idx="771">
                  <c:v>52</c:v>
                </c:pt>
                <c:pt idx="772">
                  <c:v>43</c:v>
                </c:pt>
                <c:pt idx="773">
                  <c:v>59</c:v>
                </c:pt>
                <c:pt idx="774">
                  <c:v>47</c:v>
                </c:pt>
                <c:pt idx="775">
                  <c:v>78</c:v>
                </c:pt>
                <c:pt idx="776">
                  <c:v>61</c:v>
                </c:pt>
                <c:pt idx="777">
                  <c:v>60</c:v>
                </c:pt>
                <c:pt idx="778">
                  <c:v>55</c:v>
                </c:pt>
                <c:pt idx="779">
                  <c:v>78</c:v>
                </c:pt>
                <c:pt idx="780">
                  <c:v>94</c:v>
                </c:pt>
                <c:pt idx="781">
                  <c:v>90</c:v>
                </c:pt>
                <c:pt idx="782">
                  <c:v>70</c:v>
                </c:pt>
                <c:pt idx="783">
                  <c:v>96</c:v>
                </c:pt>
                <c:pt idx="784">
                  <c:v>87</c:v>
                </c:pt>
                <c:pt idx="785">
                  <c:v>73</c:v>
                </c:pt>
                <c:pt idx="786">
                  <c:v>60</c:v>
                </c:pt>
                <c:pt idx="787">
                  <c:v>73</c:v>
                </c:pt>
                <c:pt idx="788">
                  <c:v>54</c:v>
                </c:pt>
                <c:pt idx="789">
                  <c:v>81</c:v>
                </c:pt>
                <c:pt idx="790">
                  <c:v>59</c:v>
                </c:pt>
                <c:pt idx="791">
                  <c:v>92</c:v>
                </c:pt>
                <c:pt idx="792">
                  <c:v>48</c:v>
                </c:pt>
                <c:pt idx="793">
                  <c:v>41</c:v>
                </c:pt>
                <c:pt idx="794">
                  <c:v>74</c:v>
                </c:pt>
                <c:pt idx="795">
                  <c:v>59</c:v>
                </c:pt>
                <c:pt idx="796">
                  <c:v>98</c:v>
                </c:pt>
                <c:pt idx="797">
                  <c:v>90</c:v>
                </c:pt>
                <c:pt idx="798">
                  <c:v>71</c:v>
                </c:pt>
                <c:pt idx="799">
                  <c:v>78</c:v>
                </c:pt>
                <c:pt idx="800">
                  <c:v>48</c:v>
                </c:pt>
                <c:pt idx="801">
                  <c:v>87</c:v>
                </c:pt>
                <c:pt idx="802">
                  <c:v>53</c:v>
                </c:pt>
                <c:pt idx="803">
                  <c:v>68</c:v>
                </c:pt>
                <c:pt idx="804">
                  <c:v>92</c:v>
                </c:pt>
                <c:pt idx="805">
                  <c:v>77</c:v>
                </c:pt>
                <c:pt idx="806">
                  <c:v>97</c:v>
                </c:pt>
                <c:pt idx="807">
                  <c:v>81</c:v>
                </c:pt>
                <c:pt idx="808">
                  <c:v>93</c:v>
                </c:pt>
                <c:pt idx="809">
                  <c:v>87</c:v>
                </c:pt>
                <c:pt idx="810">
                  <c:v>85</c:v>
                </c:pt>
                <c:pt idx="811">
                  <c:v>82</c:v>
                </c:pt>
                <c:pt idx="812">
                  <c:v>86</c:v>
                </c:pt>
                <c:pt idx="813">
                  <c:v>88</c:v>
                </c:pt>
                <c:pt idx="814">
                  <c:v>55</c:v>
                </c:pt>
                <c:pt idx="815">
                  <c:v>40</c:v>
                </c:pt>
                <c:pt idx="816">
                  <c:v>82</c:v>
                </c:pt>
                <c:pt idx="817">
                  <c:v>84</c:v>
                </c:pt>
                <c:pt idx="818">
                  <c:v>60</c:v>
                </c:pt>
                <c:pt idx="819">
                  <c:v>87</c:v>
                </c:pt>
                <c:pt idx="820">
                  <c:v>74</c:v>
                </c:pt>
                <c:pt idx="821">
                  <c:v>49</c:v>
                </c:pt>
                <c:pt idx="822">
                  <c:v>73</c:v>
                </c:pt>
                <c:pt idx="823">
                  <c:v>68</c:v>
                </c:pt>
                <c:pt idx="824">
                  <c:v>46</c:v>
                </c:pt>
                <c:pt idx="825">
                  <c:v>91</c:v>
                </c:pt>
                <c:pt idx="826">
                  <c:v>76</c:v>
                </c:pt>
                <c:pt idx="827">
                  <c:v>88</c:v>
                </c:pt>
                <c:pt idx="828">
                  <c:v>65</c:v>
                </c:pt>
                <c:pt idx="829">
                  <c:v>41</c:v>
                </c:pt>
                <c:pt idx="830">
                  <c:v>98</c:v>
                </c:pt>
                <c:pt idx="831">
                  <c:v>65</c:v>
                </c:pt>
                <c:pt idx="832">
                  <c:v>49</c:v>
                </c:pt>
                <c:pt idx="833">
                  <c:v>85</c:v>
                </c:pt>
                <c:pt idx="834">
                  <c:v>65</c:v>
                </c:pt>
                <c:pt idx="835">
                  <c:v>43</c:v>
                </c:pt>
                <c:pt idx="836">
                  <c:v>41</c:v>
                </c:pt>
                <c:pt idx="837">
                  <c:v>55</c:v>
                </c:pt>
                <c:pt idx="838">
                  <c:v>91</c:v>
                </c:pt>
                <c:pt idx="839">
                  <c:v>81</c:v>
                </c:pt>
                <c:pt idx="840">
                  <c:v>40</c:v>
                </c:pt>
                <c:pt idx="841">
                  <c:v>47</c:v>
                </c:pt>
                <c:pt idx="842">
                  <c:v>72</c:v>
                </c:pt>
                <c:pt idx="843">
                  <c:v>78</c:v>
                </c:pt>
                <c:pt idx="844">
                  <c:v>81</c:v>
                </c:pt>
                <c:pt idx="845">
                  <c:v>83</c:v>
                </c:pt>
                <c:pt idx="846">
                  <c:v>85</c:v>
                </c:pt>
                <c:pt idx="847">
                  <c:v>67</c:v>
                </c:pt>
                <c:pt idx="848">
                  <c:v>67</c:v>
                </c:pt>
                <c:pt idx="849">
                  <c:v>44</c:v>
                </c:pt>
                <c:pt idx="850">
                  <c:v>45</c:v>
                </c:pt>
                <c:pt idx="851">
                  <c:v>94</c:v>
                </c:pt>
                <c:pt idx="852">
                  <c:v>87</c:v>
                </c:pt>
                <c:pt idx="853">
                  <c:v>67</c:v>
                </c:pt>
                <c:pt idx="854">
                  <c:v>80</c:v>
                </c:pt>
                <c:pt idx="855">
                  <c:v>72</c:v>
                </c:pt>
                <c:pt idx="856">
                  <c:v>84</c:v>
                </c:pt>
                <c:pt idx="857">
                  <c:v>57</c:v>
                </c:pt>
                <c:pt idx="858">
                  <c:v>49</c:v>
                </c:pt>
                <c:pt idx="859">
                  <c:v>86</c:v>
                </c:pt>
                <c:pt idx="860">
                  <c:v>64</c:v>
                </c:pt>
                <c:pt idx="861">
                  <c:v>79</c:v>
                </c:pt>
                <c:pt idx="862">
                  <c:v>79</c:v>
                </c:pt>
                <c:pt idx="863">
                  <c:v>70</c:v>
                </c:pt>
                <c:pt idx="864">
                  <c:v>51</c:v>
                </c:pt>
                <c:pt idx="865">
                  <c:v>82</c:v>
                </c:pt>
                <c:pt idx="866">
                  <c:v>56</c:v>
                </c:pt>
                <c:pt idx="867">
                  <c:v>69</c:v>
                </c:pt>
                <c:pt idx="868">
                  <c:v>88</c:v>
                </c:pt>
                <c:pt idx="869">
                  <c:v>99</c:v>
                </c:pt>
                <c:pt idx="870">
                  <c:v>100</c:v>
                </c:pt>
                <c:pt idx="871">
                  <c:v>83</c:v>
                </c:pt>
                <c:pt idx="872">
                  <c:v>41</c:v>
                </c:pt>
                <c:pt idx="873">
                  <c:v>76</c:v>
                </c:pt>
                <c:pt idx="874">
                  <c:v>88</c:v>
                </c:pt>
                <c:pt idx="875">
                  <c:v>68</c:v>
                </c:pt>
                <c:pt idx="876">
                  <c:v>94</c:v>
                </c:pt>
                <c:pt idx="877">
                  <c:v>56</c:v>
                </c:pt>
                <c:pt idx="878">
                  <c:v>53</c:v>
                </c:pt>
                <c:pt idx="879">
                  <c:v>95</c:v>
                </c:pt>
                <c:pt idx="880">
                  <c:v>90</c:v>
                </c:pt>
                <c:pt idx="881">
                  <c:v>62</c:v>
                </c:pt>
                <c:pt idx="882">
                  <c:v>77</c:v>
                </c:pt>
                <c:pt idx="883">
                  <c:v>91</c:v>
                </c:pt>
                <c:pt idx="884">
                  <c:v>62</c:v>
                </c:pt>
                <c:pt idx="885">
                  <c:v>53</c:v>
                </c:pt>
                <c:pt idx="886">
                  <c:v>60</c:v>
                </c:pt>
                <c:pt idx="887">
                  <c:v>65</c:v>
                </c:pt>
                <c:pt idx="888">
                  <c:v>62</c:v>
                </c:pt>
                <c:pt idx="889">
                  <c:v>81</c:v>
                </c:pt>
                <c:pt idx="890">
                  <c:v>52</c:v>
                </c:pt>
                <c:pt idx="891">
                  <c:v>54</c:v>
                </c:pt>
                <c:pt idx="892">
                  <c:v>98</c:v>
                </c:pt>
                <c:pt idx="893">
                  <c:v>63</c:v>
                </c:pt>
                <c:pt idx="894">
                  <c:v>71</c:v>
                </c:pt>
                <c:pt idx="895">
                  <c:v>70</c:v>
                </c:pt>
                <c:pt idx="896">
                  <c:v>41</c:v>
                </c:pt>
                <c:pt idx="897">
                  <c:v>58</c:v>
                </c:pt>
                <c:pt idx="898">
                  <c:v>46</c:v>
                </c:pt>
                <c:pt idx="899">
                  <c:v>55</c:v>
                </c:pt>
                <c:pt idx="900">
                  <c:v>79</c:v>
                </c:pt>
                <c:pt idx="901">
                  <c:v>88</c:v>
                </c:pt>
                <c:pt idx="902">
                  <c:v>40</c:v>
                </c:pt>
                <c:pt idx="903">
                  <c:v>88</c:v>
                </c:pt>
                <c:pt idx="904">
                  <c:v>64</c:v>
                </c:pt>
                <c:pt idx="905">
                  <c:v>40</c:v>
                </c:pt>
                <c:pt idx="906">
                  <c:v>63</c:v>
                </c:pt>
                <c:pt idx="907">
                  <c:v>90</c:v>
                </c:pt>
                <c:pt idx="908">
                  <c:v>87</c:v>
                </c:pt>
                <c:pt idx="909">
                  <c:v>88</c:v>
                </c:pt>
                <c:pt idx="910">
                  <c:v>73</c:v>
                </c:pt>
                <c:pt idx="911">
                  <c:v>84</c:v>
                </c:pt>
                <c:pt idx="912">
                  <c:v>70</c:v>
                </c:pt>
                <c:pt idx="913">
                  <c:v>54</c:v>
                </c:pt>
                <c:pt idx="914">
                  <c:v>78</c:v>
                </c:pt>
                <c:pt idx="915">
                  <c:v>86</c:v>
                </c:pt>
                <c:pt idx="916">
                  <c:v>42</c:v>
                </c:pt>
                <c:pt idx="917">
                  <c:v>87</c:v>
                </c:pt>
                <c:pt idx="918">
                  <c:v>53</c:v>
                </c:pt>
                <c:pt idx="919">
                  <c:v>64</c:v>
                </c:pt>
                <c:pt idx="920">
                  <c:v>82</c:v>
                </c:pt>
                <c:pt idx="921">
                  <c:v>79</c:v>
                </c:pt>
                <c:pt idx="922">
                  <c:v>51</c:v>
                </c:pt>
                <c:pt idx="923">
                  <c:v>41</c:v>
                </c:pt>
                <c:pt idx="924">
                  <c:v>83</c:v>
                </c:pt>
                <c:pt idx="925">
                  <c:v>97</c:v>
                </c:pt>
                <c:pt idx="926">
                  <c:v>57</c:v>
                </c:pt>
                <c:pt idx="927">
                  <c:v>62</c:v>
                </c:pt>
                <c:pt idx="928">
                  <c:v>40</c:v>
                </c:pt>
                <c:pt idx="929">
                  <c:v>71</c:v>
                </c:pt>
                <c:pt idx="930">
                  <c:v>69</c:v>
                </c:pt>
                <c:pt idx="931">
                  <c:v>97</c:v>
                </c:pt>
                <c:pt idx="932">
                  <c:v>96</c:v>
                </c:pt>
                <c:pt idx="933">
                  <c:v>53</c:v>
                </c:pt>
                <c:pt idx="934">
                  <c:v>97</c:v>
                </c:pt>
                <c:pt idx="935">
                  <c:v>46</c:v>
                </c:pt>
                <c:pt idx="936">
                  <c:v>49</c:v>
                </c:pt>
                <c:pt idx="937">
                  <c:v>70</c:v>
                </c:pt>
                <c:pt idx="938">
                  <c:v>61</c:v>
                </c:pt>
                <c:pt idx="939">
                  <c:v>93</c:v>
                </c:pt>
                <c:pt idx="940">
                  <c:v>53</c:v>
                </c:pt>
                <c:pt idx="941">
                  <c:v>77</c:v>
                </c:pt>
                <c:pt idx="942">
                  <c:v>100</c:v>
                </c:pt>
                <c:pt idx="943">
                  <c:v>100</c:v>
                </c:pt>
                <c:pt idx="944">
                  <c:v>50</c:v>
                </c:pt>
                <c:pt idx="945">
                  <c:v>77</c:v>
                </c:pt>
                <c:pt idx="946">
                  <c:v>45</c:v>
                </c:pt>
                <c:pt idx="947">
                  <c:v>53</c:v>
                </c:pt>
                <c:pt idx="948">
                  <c:v>49</c:v>
                </c:pt>
                <c:pt idx="949">
                  <c:v>93</c:v>
                </c:pt>
                <c:pt idx="950">
                  <c:v>70</c:v>
                </c:pt>
                <c:pt idx="951">
                  <c:v>62</c:v>
                </c:pt>
                <c:pt idx="952">
                  <c:v>77</c:v>
                </c:pt>
                <c:pt idx="953">
                  <c:v>66</c:v>
                </c:pt>
                <c:pt idx="954">
                  <c:v>49</c:v>
                </c:pt>
                <c:pt idx="955">
                  <c:v>57</c:v>
                </c:pt>
                <c:pt idx="956">
                  <c:v>73</c:v>
                </c:pt>
                <c:pt idx="957">
                  <c:v>87</c:v>
                </c:pt>
                <c:pt idx="958">
                  <c:v>56</c:v>
                </c:pt>
                <c:pt idx="959">
                  <c:v>72</c:v>
                </c:pt>
                <c:pt idx="960">
                  <c:v>68</c:v>
                </c:pt>
                <c:pt idx="961">
                  <c:v>56</c:v>
                </c:pt>
                <c:pt idx="962">
                  <c:v>89</c:v>
                </c:pt>
                <c:pt idx="963">
                  <c:v>86</c:v>
                </c:pt>
                <c:pt idx="964">
                  <c:v>52</c:v>
                </c:pt>
                <c:pt idx="965">
                  <c:v>96</c:v>
                </c:pt>
                <c:pt idx="966">
                  <c:v>63</c:v>
                </c:pt>
                <c:pt idx="967">
                  <c:v>92</c:v>
                </c:pt>
                <c:pt idx="968">
                  <c:v>96</c:v>
                </c:pt>
                <c:pt idx="969">
                  <c:v>90</c:v>
                </c:pt>
                <c:pt idx="970">
                  <c:v>53</c:v>
                </c:pt>
                <c:pt idx="971">
                  <c:v>91</c:v>
                </c:pt>
                <c:pt idx="972">
                  <c:v>86</c:v>
                </c:pt>
                <c:pt idx="973">
                  <c:v>73</c:v>
                </c:pt>
                <c:pt idx="974">
                  <c:v>43</c:v>
                </c:pt>
                <c:pt idx="975">
                  <c:v>84</c:v>
                </c:pt>
                <c:pt idx="976">
                  <c:v>59</c:v>
                </c:pt>
                <c:pt idx="977">
                  <c:v>46</c:v>
                </c:pt>
                <c:pt idx="978">
                  <c:v>92</c:v>
                </c:pt>
                <c:pt idx="979">
                  <c:v>57</c:v>
                </c:pt>
                <c:pt idx="980">
                  <c:v>54.5</c:v>
                </c:pt>
                <c:pt idx="981">
                  <c:v>41</c:v>
                </c:pt>
                <c:pt idx="982">
                  <c:v>83</c:v>
                </c:pt>
                <c:pt idx="983">
                  <c:v>80</c:v>
                </c:pt>
                <c:pt idx="984">
                  <c:v>86</c:v>
                </c:pt>
                <c:pt idx="985">
                  <c:v>44</c:v>
                </c:pt>
                <c:pt idx="986" formatCode="&quot;₹&quot;\ #,##0">
                  <c:v>70.195999999999998</c:v>
                </c:pt>
              </c:numCache>
            </c:numRef>
          </c:yVal>
          <c:smooth val="0"/>
          <c:extLst>
            <c:ext xmlns:c16="http://schemas.microsoft.com/office/drawing/2014/chart" uri="{C3380CC4-5D6E-409C-BE32-E72D297353CC}">
              <c16:uniqueId val="{00000000-0CA7-450C-8506-A2E83DD4705E}"/>
            </c:ext>
          </c:extLst>
        </c:ser>
        <c:dLbls>
          <c:showLegendKey val="0"/>
          <c:showVal val="0"/>
          <c:showCatName val="0"/>
          <c:showSerName val="0"/>
          <c:showPercent val="0"/>
          <c:showBubbleSize val="0"/>
        </c:dLbls>
        <c:axId val="1196878863"/>
        <c:axId val="1595147343"/>
      </c:scatterChart>
      <c:valAx>
        <c:axId val="1196878863"/>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147343"/>
        <c:crosses val="autoZero"/>
        <c:crossBetween val="midCat"/>
      </c:valAx>
      <c:valAx>
        <c:axId val="1595147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8788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200" b="1">
                <a:latin typeface="Times New Roman" panose="02020603050405020304" pitchFamily="18" charset="0"/>
                <a:cs typeface="Times New Roman" panose="02020603050405020304" pitchFamily="18" charset="0"/>
              </a:rPr>
              <a:t>Gender Breakdown</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Values!$H$3</c:f>
              <c:strCache>
                <c:ptCount val="1"/>
                <c:pt idx="0">
                  <c:v>Count</c:v>
                </c:pt>
              </c:strCache>
            </c:strRef>
          </c:tx>
          <c:dPt>
            <c:idx val="0"/>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1-9909-40C6-92D3-F17E3E2DCA33}"/>
              </c:ext>
            </c:extLst>
          </c:dPt>
          <c:dPt>
            <c:idx val="1"/>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3-9909-40C6-92D3-F17E3E2DCA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Values!$G$4:$G$5</c:f>
              <c:strCache>
                <c:ptCount val="2"/>
                <c:pt idx="0">
                  <c:v>Male</c:v>
                </c:pt>
                <c:pt idx="1">
                  <c:v>Female</c:v>
                </c:pt>
              </c:strCache>
            </c:strRef>
          </c:cat>
          <c:val>
            <c:numRef>
              <c:f>Values!$H$4:$H$5</c:f>
              <c:numCache>
                <c:formatCode>General</c:formatCode>
                <c:ptCount val="2"/>
                <c:pt idx="0">
                  <c:v>516</c:v>
                </c:pt>
                <c:pt idx="1">
                  <c:v>484</c:v>
                </c:pt>
              </c:numCache>
            </c:numRef>
          </c:val>
          <c:extLst>
            <c:ext xmlns:c16="http://schemas.microsoft.com/office/drawing/2014/chart" uri="{C3380CC4-5D6E-409C-BE32-E72D297353CC}">
              <c16:uniqueId val="{00000004-9909-40C6-92D3-F17E3E2DCA3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Patient Satisfaction Distribution</cx:v>
        </cx:txData>
      </cx:tx>
      <cx:txPr>
        <a:bodyPr spcFirstLastPara="1" vertOverflow="ellipsis" horzOverflow="overflow" wrap="square" lIns="0" tIns="0" rIns="0" bIns="0" anchor="ctr" anchorCtr="1"/>
        <a:lstStyle/>
        <a:p>
          <a:pPr algn="ctr" rtl="0">
            <a:defRPr/>
          </a:pPr>
          <a:r>
            <a:rPr lang="en-US" sz="1200" b="1"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rPr>
            <a:t>Patient Satisfaction Distribution</a:t>
          </a:r>
        </a:p>
      </cx:txPr>
    </cx:title>
    <cx:plotArea>
      <cx:plotAreaRegion>
        <cx:series layoutId="clusteredColumn" uniqueId="{0A2311CF-ECE9-4F7F-A802-CF905FB85CDB}">
          <cx:tx>
            <cx:txData>
              <cx:f>_xlchart.v1.0</cx:f>
              <cx:v>Patient_Satisfaction</cx:v>
            </cx:txData>
          </cx:tx>
          <cx:dataLabels>
            <cx:visibility seriesName="0" categoryName="0" value="1"/>
          </cx:dataLabels>
          <cx:dataId val="0"/>
          <cx:layoutPr>
            <cx:binning intervalClosed="r">
              <cx:binSize val="10"/>
            </cx:binning>
          </cx:layoutPr>
        </cx:series>
      </cx:plotAreaRegion>
      <cx:axis id="0">
        <cx:catScaling gapWidth="0"/>
        <cx:majorTickMarks type="in"/>
        <cx:minorTickMarks type="in"/>
        <cx:tickLabels/>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a:endParaRPr>
          </a:p>
        </cx:txPr>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117231</xdr:colOff>
      <xdr:row>0</xdr:row>
      <xdr:rowOff>0</xdr:rowOff>
    </xdr:from>
    <xdr:to>
      <xdr:col>21</xdr:col>
      <xdr:colOff>634999</xdr:colOff>
      <xdr:row>31</xdr:row>
      <xdr:rowOff>106680</xdr:rowOff>
    </xdr:to>
    <xdr:sp macro="" textlink="">
      <xdr:nvSpPr>
        <xdr:cNvPr id="3" name="Rectangle 2">
          <a:extLst>
            <a:ext uri="{FF2B5EF4-FFF2-40B4-BE49-F238E27FC236}">
              <a16:creationId xmlns:a16="http://schemas.microsoft.com/office/drawing/2014/main" id="{6224ECFB-8089-4E36-87D9-C3939ED845E9}"/>
            </a:ext>
          </a:extLst>
        </xdr:cNvPr>
        <xdr:cNvSpPr/>
      </xdr:nvSpPr>
      <xdr:spPr>
        <a:xfrm>
          <a:off x="1524000" y="0"/>
          <a:ext cx="12778153" cy="5557911"/>
        </a:xfrm>
        <a:prstGeom prst="rect">
          <a:avLst/>
        </a:prstGeom>
        <a:solidFill>
          <a:schemeClr val="accent6">
            <a:lumMod val="40000"/>
            <a:lumOff val="6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0</xdr:col>
      <xdr:colOff>15240</xdr:colOff>
      <xdr:row>0</xdr:row>
      <xdr:rowOff>0</xdr:rowOff>
    </xdr:from>
    <xdr:to>
      <xdr:col>2</xdr:col>
      <xdr:colOff>106680</xdr:colOff>
      <xdr:row>31</xdr:row>
      <xdr:rowOff>106680</xdr:rowOff>
    </xdr:to>
    <xdr:sp macro="" textlink="">
      <xdr:nvSpPr>
        <xdr:cNvPr id="2" name="Rectangle 1">
          <a:extLst>
            <a:ext uri="{FF2B5EF4-FFF2-40B4-BE49-F238E27FC236}">
              <a16:creationId xmlns:a16="http://schemas.microsoft.com/office/drawing/2014/main" id="{B8343149-296C-7621-A1B7-30A1E0F820C6}"/>
            </a:ext>
          </a:extLst>
        </xdr:cNvPr>
        <xdr:cNvSpPr/>
      </xdr:nvSpPr>
      <xdr:spPr>
        <a:xfrm>
          <a:off x="15240" y="0"/>
          <a:ext cx="1493520" cy="5775960"/>
        </a:xfrm>
        <a:prstGeom prst="rect">
          <a:avLst/>
        </a:prstGeom>
        <a:solidFill>
          <a:schemeClr val="accent6">
            <a:lumMod val="7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xdr:row>
      <xdr:rowOff>81471</xdr:rowOff>
    </xdr:from>
    <xdr:to>
      <xdr:col>1</xdr:col>
      <xdr:colOff>1143000</xdr:colOff>
      <xdr:row>4</xdr:row>
      <xdr:rowOff>104332</xdr:rowOff>
    </xdr:to>
    <xdr:sp macro="" textlink="pivots!F4">
      <xdr:nvSpPr>
        <xdr:cNvPr id="4" name="TextBox 3">
          <a:extLst>
            <a:ext uri="{FF2B5EF4-FFF2-40B4-BE49-F238E27FC236}">
              <a16:creationId xmlns:a16="http://schemas.microsoft.com/office/drawing/2014/main" id="{3E5A681D-4E28-35C6-1617-DADAC60F3433}"/>
            </a:ext>
          </a:extLst>
        </xdr:cNvPr>
        <xdr:cNvSpPr txBox="1"/>
      </xdr:nvSpPr>
      <xdr:spPr>
        <a:xfrm>
          <a:off x="0" y="422366"/>
          <a:ext cx="1283368" cy="363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1432B7-A775-4B4A-AB62-B961571D0FB2}" type="TxLink">
            <a:rPr lang="en-US" sz="16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rPr>
            <a:t>1,000</a:t>
          </a:fld>
          <a:endParaRPr lang="en-US" sz="1600" b="1">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5</xdr:row>
      <xdr:rowOff>56721</xdr:rowOff>
    </xdr:from>
    <xdr:to>
      <xdr:col>1</xdr:col>
      <xdr:colOff>1143000</xdr:colOff>
      <xdr:row>7</xdr:row>
      <xdr:rowOff>79581</xdr:rowOff>
    </xdr:to>
    <xdr:sp macro="" textlink="pivots!G4">
      <xdr:nvSpPr>
        <xdr:cNvPr id="5" name="TextBox 4">
          <a:extLst>
            <a:ext uri="{FF2B5EF4-FFF2-40B4-BE49-F238E27FC236}">
              <a16:creationId xmlns:a16="http://schemas.microsoft.com/office/drawing/2014/main" id="{4980DB20-149E-45F4-972D-C024FFBC9D74}"/>
            </a:ext>
          </a:extLst>
        </xdr:cNvPr>
        <xdr:cNvSpPr txBox="1"/>
      </xdr:nvSpPr>
      <xdr:spPr>
        <a:xfrm>
          <a:off x="0" y="908958"/>
          <a:ext cx="1283368" cy="363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B27321-5A53-4906-81FC-186F6EE339BE}" type="TxLink">
            <a:rPr lang="en-US" sz="16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rPr>
            <a:pPr marL="0" indent="0"/>
            <a:t>₹ 24,953</a:t>
          </a:fld>
          <a:endParaRPr lang="en-US" sz="16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0</xdr:colOff>
      <xdr:row>8</xdr:row>
      <xdr:rowOff>111379</xdr:rowOff>
    </xdr:from>
    <xdr:to>
      <xdr:col>1</xdr:col>
      <xdr:colOff>1143000</xdr:colOff>
      <xdr:row>10</xdr:row>
      <xdr:rowOff>134239</xdr:rowOff>
    </xdr:to>
    <xdr:sp macro="" textlink="pivots!H4">
      <xdr:nvSpPr>
        <xdr:cNvPr id="6" name="TextBox 5">
          <a:extLst>
            <a:ext uri="{FF2B5EF4-FFF2-40B4-BE49-F238E27FC236}">
              <a16:creationId xmlns:a16="http://schemas.microsoft.com/office/drawing/2014/main" id="{2CC21731-956D-45AE-90DD-BF6B429DFA2C}"/>
            </a:ext>
          </a:extLst>
        </xdr:cNvPr>
        <xdr:cNvSpPr txBox="1"/>
      </xdr:nvSpPr>
      <xdr:spPr>
        <a:xfrm>
          <a:off x="0" y="1474958"/>
          <a:ext cx="1283368" cy="363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53BBEF4-DC1B-4BDD-95B9-2492DCC8B066}" type="TxLink">
            <a:rPr lang="en-US" sz="16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rPr>
            <a:pPr marL="0" indent="0"/>
            <a:t>70</a:t>
          </a:fld>
          <a:endParaRPr lang="en-US" sz="16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0</xdr:colOff>
      <xdr:row>11</xdr:row>
      <xdr:rowOff>68179</xdr:rowOff>
    </xdr:from>
    <xdr:to>
      <xdr:col>1</xdr:col>
      <xdr:colOff>1143000</xdr:colOff>
      <xdr:row>13</xdr:row>
      <xdr:rowOff>91039</xdr:rowOff>
    </xdr:to>
    <xdr:sp macro="" textlink="pivots!I4">
      <xdr:nvSpPr>
        <xdr:cNvPr id="7" name="TextBox 6">
          <a:extLst>
            <a:ext uri="{FF2B5EF4-FFF2-40B4-BE49-F238E27FC236}">
              <a16:creationId xmlns:a16="http://schemas.microsoft.com/office/drawing/2014/main" id="{D8CA70DC-93DB-4C7E-8695-EC4EE8C4E7F6}"/>
            </a:ext>
          </a:extLst>
        </xdr:cNvPr>
        <xdr:cNvSpPr txBox="1"/>
      </xdr:nvSpPr>
      <xdr:spPr>
        <a:xfrm>
          <a:off x="0" y="1943100"/>
          <a:ext cx="1283368" cy="363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BE0DA68-3F31-4832-9433-C0E1078DB0DF}" type="TxLink">
            <a:rPr lang="en-US" sz="16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rPr>
            <a:pPr marL="0" indent="0"/>
            <a:t>2,483</a:t>
          </a:fld>
          <a:endParaRPr lang="en-US" sz="16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0</xdr:colOff>
      <xdr:row>1</xdr:row>
      <xdr:rowOff>30481</xdr:rowOff>
    </xdr:from>
    <xdr:to>
      <xdr:col>1</xdr:col>
      <xdr:colOff>1005840</xdr:colOff>
      <xdr:row>3</xdr:row>
      <xdr:rowOff>7620</xdr:rowOff>
    </xdr:to>
    <xdr:sp macro="" textlink="pivots!F3">
      <xdr:nvSpPr>
        <xdr:cNvPr id="8" name="TextBox 7">
          <a:extLst>
            <a:ext uri="{FF2B5EF4-FFF2-40B4-BE49-F238E27FC236}">
              <a16:creationId xmlns:a16="http://schemas.microsoft.com/office/drawing/2014/main" id="{AA467E9B-9057-5BEC-753C-5DBC58145C80}"/>
            </a:ext>
          </a:extLst>
        </xdr:cNvPr>
        <xdr:cNvSpPr txBox="1"/>
      </xdr:nvSpPr>
      <xdr:spPr>
        <a:xfrm>
          <a:off x="0" y="200928"/>
          <a:ext cx="1146208" cy="318034"/>
        </a:xfrm>
        <a:prstGeom prst="rect">
          <a:avLst/>
        </a:prstGeom>
        <a:no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5BDF75-886F-4B9C-A7BB-5A44941ECB76}" type="TxLink">
            <a:rPr lang="en-US" sz="10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rPr>
            <a:pPr marL="0" indent="0"/>
            <a:t>Total_patients</a:t>
          </a:fld>
          <a:endParaRPr lang="en-US" sz="10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0</xdr:colOff>
      <xdr:row>4</xdr:row>
      <xdr:rowOff>46236</xdr:rowOff>
    </xdr:from>
    <xdr:to>
      <xdr:col>2</xdr:col>
      <xdr:colOff>22860</xdr:colOff>
      <xdr:row>5</xdr:row>
      <xdr:rowOff>149191</xdr:rowOff>
    </xdr:to>
    <xdr:sp macro="" textlink="pivots!G3">
      <xdr:nvSpPr>
        <xdr:cNvPr id="9" name="TextBox 8">
          <a:extLst>
            <a:ext uri="{FF2B5EF4-FFF2-40B4-BE49-F238E27FC236}">
              <a16:creationId xmlns:a16="http://schemas.microsoft.com/office/drawing/2014/main" id="{4F63AD82-9C82-496A-BCA3-D872D4B46950}"/>
            </a:ext>
          </a:extLst>
        </xdr:cNvPr>
        <xdr:cNvSpPr txBox="1"/>
      </xdr:nvSpPr>
      <xdr:spPr>
        <a:xfrm>
          <a:off x="0" y="728025"/>
          <a:ext cx="1436571" cy="273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6B8136D-BC27-4911-A783-F40917C75B69}" type="TxLink">
            <a:rPr lang="en-US" sz="10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rPr>
            <a:pPr marL="0" indent="0"/>
            <a:t>Avg_Treatment_cost</a:t>
          </a:fld>
          <a:endParaRPr lang="en-US" sz="10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0</xdr:colOff>
      <xdr:row>7</xdr:row>
      <xdr:rowOff>83248</xdr:rowOff>
    </xdr:from>
    <xdr:to>
      <xdr:col>2</xdr:col>
      <xdr:colOff>99060</xdr:colOff>
      <xdr:row>9</xdr:row>
      <xdr:rowOff>74997</xdr:rowOff>
    </xdr:to>
    <xdr:sp macro="" textlink="pivots!H3">
      <xdr:nvSpPr>
        <xdr:cNvPr id="10" name="TextBox 9">
          <a:extLst>
            <a:ext uri="{FF2B5EF4-FFF2-40B4-BE49-F238E27FC236}">
              <a16:creationId xmlns:a16="http://schemas.microsoft.com/office/drawing/2014/main" id="{C139A8E1-8029-4B2F-BFEE-C0C723F4FFC4}"/>
            </a:ext>
          </a:extLst>
        </xdr:cNvPr>
        <xdr:cNvSpPr txBox="1"/>
      </xdr:nvSpPr>
      <xdr:spPr>
        <a:xfrm>
          <a:off x="0" y="1276380"/>
          <a:ext cx="1512771" cy="33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7167B9F-6CAD-4AA8-B4C7-35ABD15FB909}" type="TxLink">
            <a:rPr lang="en-US" sz="9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rPr>
            <a:pPr marL="0" indent="0"/>
            <a:t>Avg_Patient_satisfication</a:t>
          </a:fld>
          <a:endParaRPr lang="en-US" sz="9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0</xdr:colOff>
      <xdr:row>10</xdr:row>
      <xdr:rowOff>72134</xdr:rowOff>
    </xdr:from>
    <xdr:to>
      <xdr:col>2</xdr:col>
      <xdr:colOff>83820</xdr:colOff>
      <xdr:row>12</xdr:row>
      <xdr:rowOff>67779</xdr:rowOff>
    </xdr:to>
    <xdr:sp macro="" textlink="pivots!I3">
      <xdr:nvSpPr>
        <xdr:cNvPr id="11" name="TextBox 10">
          <a:extLst>
            <a:ext uri="{FF2B5EF4-FFF2-40B4-BE49-F238E27FC236}">
              <a16:creationId xmlns:a16="http://schemas.microsoft.com/office/drawing/2014/main" id="{370B306D-8401-4EF0-AA63-E8C8B58AC731}"/>
            </a:ext>
          </a:extLst>
        </xdr:cNvPr>
        <xdr:cNvSpPr txBox="1"/>
      </xdr:nvSpPr>
      <xdr:spPr>
        <a:xfrm>
          <a:off x="0" y="1776608"/>
          <a:ext cx="1497531" cy="336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F1D378F-3D0E-4BA9-88BD-056F022C8148}" type="TxLink">
            <a:rPr lang="en-US" sz="9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rPr>
            <a:pPr marL="0" indent="0"/>
            <a:t>Total_Patients_Refused</a:t>
          </a:fld>
          <a:endParaRPr lang="en-US" sz="900" b="1" i="0" u="none" strike="noStrike">
            <a:gradFill>
              <a:gsLst>
                <a:gs pos="2000">
                  <a:schemeClr val="bg1"/>
                </a:gs>
                <a:gs pos="80000">
                  <a:schemeClr val="bg1">
                    <a:lumMod val="75000"/>
                  </a:schemeClr>
                </a:gs>
              </a:gsLst>
              <a:lin ang="5400000" scaled="1"/>
            </a:gradFill>
            <a:effectLst>
              <a:outerShdw blurRad="50800" dist="38100" algn="l" rotWithShape="0">
                <a:prstClr val="black">
                  <a:alpha val="40000"/>
                </a:prstClr>
              </a:outerShdw>
            </a:effectLst>
            <a:latin typeface="Times New Roman" panose="02020603050405020304" pitchFamily="18" charset="0"/>
            <a:ea typeface="Calibri"/>
            <a:cs typeface="Times New Roman" panose="02020603050405020304" pitchFamily="18" charset="0"/>
          </a:endParaRPr>
        </a:p>
      </xdr:txBody>
    </xdr:sp>
    <xdr:clientData/>
  </xdr:twoCellAnchor>
  <xdr:twoCellAnchor>
    <xdr:from>
      <xdr:col>3</xdr:col>
      <xdr:colOff>130516</xdr:colOff>
      <xdr:row>3</xdr:row>
      <xdr:rowOff>156308</xdr:rowOff>
    </xdr:from>
    <xdr:to>
      <xdr:col>9</xdr:col>
      <xdr:colOff>273537</xdr:colOff>
      <xdr:row>17</xdr:row>
      <xdr:rowOff>48846</xdr:rowOff>
    </xdr:to>
    <xdr:graphicFrame macro="">
      <xdr:nvGraphicFramePr>
        <xdr:cNvPr id="12" name="Chart 11">
          <a:extLst>
            <a:ext uri="{FF2B5EF4-FFF2-40B4-BE49-F238E27FC236}">
              <a16:creationId xmlns:a16="http://schemas.microsoft.com/office/drawing/2014/main" id="{53A4EDCD-6CD6-40E0-B246-8F3636AA11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375910</xdr:colOff>
      <xdr:row>3</xdr:row>
      <xdr:rowOff>156308</xdr:rowOff>
    </xdr:from>
    <xdr:to>
      <xdr:col>15</xdr:col>
      <xdr:colOff>322570</xdr:colOff>
      <xdr:row>17</xdr:row>
      <xdr:rowOff>48846</xdr:rowOff>
    </xdr:to>
    <xdr:graphicFrame macro="">
      <xdr:nvGraphicFramePr>
        <xdr:cNvPr id="13" name="Chart 12">
          <a:extLst>
            <a:ext uri="{FF2B5EF4-FFF2-40B4-BE49-F238E27FC236}">
              <a16:creationId xmlns:a16="http://schemas.microsoft.com/office/drawing/2014/main" id="{07E8206B-CA07-47A7-811E-537FC7D98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366541</xdr:colOff>
      <xdr:row>3</xdr:row>
      <xdr:rowOff>126999</xdr:rowOff>
    </xdr:from>
    <xdr:to>
      <xdr:col>21</xdr:col>
      <xdr:colOff>390769</xdr:colOff>
      <xdr:row>17</xdr:row>
      <xdr:rowOff>48845</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CD552721-44F3-42A7-BFA3-7E74CA690E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989233" y="654537"/>
              <a:ext cx="4068690" cy="238369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105507</xdr:colOff>
      <xdr:row>17</xdr:row>
      <xdr:rowOff>87924</xdr:rowOff>
    </xdr:from>
    <xdr:to>
      <xdr:col>9</xdr:col>
      <xdr:colOff>254000</xdr:colOff>
      <xdr:row>31</xdr:row>
      <xdr:rowOff>18952</xdr:rowOff>
    </xdr:to>
    <xdr:graphicFrame macro="">
      <xdr:nvGraphicFramePr>
        <xdr:cNvPr id="15" name="Chart 14">
          <a:extLst>
            <a:ext uri="{FF2B5EF4-FFF2-40B4-BE49-F238E27FC236}">
              <a16:creationId xmlns:a16="http://schemas.microsoft.com/office/drawing/2014/main" id="{8A6E68BB-BB47-4C21-AA83-FCF560149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342511</xdr:colOff>
      <xdr:row>17</xdr:row>
      <xdr:rowOff>107461</xdr:rowOff>
    </xdr:from>
    <xdr:to>
      <xdr:col>15</xdr:col>
      <xdr:colOff>302846</xdr:colOff>
      <xdr:row>31</xdr:row>
      <xdr:rowOff>19537</xdr:rowOff>
    </xdr:to>
    <xdr:graphicFrame macro="">
      <xdr:nvGraphicFramePr>
        <xdr:cNvPr id="16" name="Chart 15">
          <a:extLst>
            <a:ext uri="{FF2B5EF4-FFF2-40B4-BE49-F238E27FC236}">
              <a16:creationId xmlns:a16="http://schemas.microsoft.com/office/drawing/2014/main" id="{D224F8C0-F0DE-4B92-AD62-14A0ED1DC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354624</xdr:colOff>
      <xdr:row>17</xdr:row>
      <xdr:rowOff>87922</xdr:rowOff>
    </xdr:from>
    <xdr:to>
      <xdr:col>21</xdr:col>
      <xdr:colOff>390769</xdr:colOff>
      <xdr:row>30</xdr:row>
      <xdr:rowOff>175845</xdr:rowOff>
    </xdr:to>
    <xdr:graphicFrame macro="">
      <xdr:nvGraphicFramePr>
        <xdr:cNvPr id="17" name="Chart 16">
          <a:extLst>
            <a:ext uri="{FF2B5EF4-FFF2-40B4-BE49-F238E27FC236}">
              <a16:creationId xmlns:a16="http://schemas.microsoft.com/office/drawing/2014/main" id="{91AE6A2E-773E-4DC5-9C2F-B6747182D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8021</xdr:colOff>
      <xdr:row>13</xdr:row>
      <xdr:rowOff>85423</xdr:rowOff>
    </xdr:from>
    <xdr:to>
      <xdr:col>2</xdr:col>
      <xdr:colOff>15641</xdr:colOff>
      <xdr:row>18</xdr:row>
      <xdr:rowOff>154003</xdr:rowOff>
    </xdr:to>
    <mc:AlternateContent xmlns:mc="http://schemas.openxmlformats.org/markup-compatibility/2006">
      <mc:Choice xmlns:a14="http://schemas.microsoft.com/office/drawing/2010/main" Requires="a14">
        <xdr:graphicFrame macro="">
          <xdr:nvGraphicFramePr>
            <xdr:cNvPr id="18" name="Gender">
              <a:extLst>
                <a:ext uri="{FF2B5EF4-FFF2-40B4-BE49-F238E27FC236}">
                  <a16:creationId xmlns:a16="http://schemas.microsoft.com/office/drawing/2014/main" id="{A2203D52-FED7-4328-89F2-F9CE6B484A1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021" y="2363803"/>
              <a:ext cx="1417320" cy="944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18047</xdr:colOff>
      <xdr:row>19</xdr:row>
      <xdr:rowOff>51735</xdr:rowOff>
    </xdr:from>
    <xdr:to>
      <xdr:col>2</xdr:col>
      <xdr:colOff>18047</xdr:colOff>
      <xdr:row>25</xdr:row>
      <xdr:rowOff>123123</xdr:rowOff>
    </xdr:to>
    <mc:AlternateContent xmlns:mc="http://schemas.openxmlformats.org/markup-compatibility/2006">
      <mc:Choice xmlns:a14="http://schemas.microsoft.com/office/drawing/2010/main" Requires="a14">
        <xdr:graphicFrame macro="">
          <xdr:nvGraphicFramePr>
            <xdr:cNvPr id="19" name="Department">
              <a:extLst>
                <a:ext uri="{FF2B5EF4-FFF2-40B4-BE49-F238E27FC236}">
                  <a16:creationId xmlns:a16="http://schemas.microsoft.com/office/drawing/2014/main" id="{9C9AAC57-76E4-4E68-9E34-47374759904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8047" y="3381675"/>
              <a:ext cx="1409700" cy="11229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26</xdr:row>
      <xdr:rowOff>46522</xdr:rowOff>
    </xdr:from>
    <xdr:to>
      <xdr:col>2</xdr:col>
      <xdr:colOff>53340</xdr:colOff>
      <xdr:row>31</xdr:row>
      <xdr:rowOff>60158</xdr:rowOff>
    </xdr:to>
    <mc:AlternateContent xmlns:mc="http://schemas.openxmlformats.org/markup-compatibility/2006">
      <mc:Choice xmlns:a14="http://schemas.microsoft.com/office/drawing/2010/main" Requires="a14">
        <xdr:graphicFrame macro="">
          <xdr:nvGraphicFramePr>
            <xdr:cNvPr id="20" name="Month_Year">
              <a:extLst>
                <a:ext uri="{FF2B5EF4-FFF2-40B4-BE49-F238E27FC236}">
                  <a16:creationId xmlns:a16="http://schemas.microsoft.com/office/drawing/2014/main" id="{E57CFD3C-C8B8-4996-990F-788A6E194F8E}"/>
                </a:ext>
              </a:extLst>
            </xdr:cNvPr>
            <xdr:cNvGraphicFramePr/>
          </xdr:nvGraphicFramePr>
          <xdr:xfrm>
            <a:off x="0" y="0"/>
            <a:ext cx="0" cy="0"/>
          </xdr:xfrm>
          <a:graphic>
            <a:graphicData uri="http://schemas.microsoft.com/office/drawing/2010/slicer">
              <sle:slicer xmlns:sle="http://schemas.microsoft.com/office/drawing/2010/slicer" name="Month_Year"/>
            </a:graphicData>
          </a:graphic>
        </xdr:graphicFrame>
      </mc:Choice>
      <mc:Fallback>
        <xdr:sp macro="" textlink="">
          <xdr:nvSpPr>
            <xdr:cNvPr id="0" name=""/>
            <xdr:cNvSpPr>
              <a:spLocks noTextEdit="1"/>
            </xdr:cNvSpPr>
          </xdr:nvSpPr>
          <xdr:spPr>
            <a:xfrm>
              <a:off x="22860" y="4603282"/>
              <a:ext cx="1440180" cy="889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478693</xdr:colOff>
      <xdr:row>0</xdr:row>
      <xdr:rowOff>87923</xdr:rowOff>
    </xdr:from>
    <xdr:to>
      <xdr:col>21</xdr:col>
      <xdr:colOff>29308</xdr:colOff>
      <xdr:row>3</xdr:row>
      <xdr:rowOff>48846</xdr:rowOff>
    </xdr:to>
    <xdr:sp macro="" textlink="">
      <xdr:nvSpPr>
        <xdr:cNvPr id="21" name="TextBox 20">
          <a:extLst>
            <a:ext uri="{FF2B5EF4-FFF2-40B4-BE49-F238E27FC236}">
              <a16:creationId xmlns:a16="http://schemas.microsoft.com/office/drawing/2014/main" id="{5DF1B024-3EFB-0979-FA6F-6AF2190D58B0}"/>
            </a:ext>
          </a:extLst>
        </xdr:cNvPr>
        <xdr:cNvSpPr txBox="1"/>
      </xdr:nvSpPr>
      <xdr:spPr>
        <a:xfrm>
          <a:off x="2012462" y="87923"/>
          <a:ext cx="11684000" cy="488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latin typeface="Times New Roman" panose="02020603050405020304" pitchFamily="18" charset="0"/>
              <a:cs typeface="Times New Roman" panose="02020603050405020304" pitchFamily="18" charset="0"/>
            </a:rPr>
            <a:t>        Healthcare Patient Analytics Dashboard 📊</a:t>
          </a:r>
        </a:p>
      </xdr:txBody>
    </xdr:sp>
    <xdr:clientData/>
  </xdr:twoCellAnchor>
  <xdr:twoCellAnchor editAs="oneCell">
    <xdr:from>
      <xdr:col>6</xdr:col>
      <xdr:colOff>531394</xdr:colOff>
      <xdr:row>0</xdr:row>
      <xdr:rowOff>40105</xdr:rowOff>
    </xdr:from>
    <xdr:to>
      <xdr:col>7</xdr:col>
      <xdr:colOff>541420</xdr:colOff>
      <xdr:row>4</xdr:row>
      <xdr:rowOff>20053</xdr:rowOff>
    </xdr:to>
    <xdr:pic>
      <xdr:nvPicPr>
        <xdr:cNvPr id="25" name="Picture 24">
          <a:extLst>
            <a:ext uri="{FF2B5EF4-FFF2-40B4-BE49-F238E27FC236}">
              <a16:creationId xmlns:a16="http://schemas.microsoft.com/office/drawing/2014/main" id="{7123B9CA-B569-4459-73D2-11F3C0318D3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090736" y="40105"/>
          <a:ext cx="681789" cy="66173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51" refreshedDate="45976.563174884257" createdVersion="8" refreshedVersion="8" minRefreshableVersion="3" recordCount="1000" xr:uid="{608AB6FC-ECE1-4055-996B-7E563BD23F83}">
  <cacheSource type="worksheet">
    <worksheetSource name="HealthCare"/>
  </cacheSource>
  <cacheFields count="13">
    <cacheField name="Patient_ID" numFmtId="0">
      <sharedItems count="1000">
        <s v="P0001"/>
        <s v="P0002"/>
        <s v="P0003"/>
        <s v="P0004"/>
        <s v="P0005"/>
        <s v="P0006"/>
        <s v="P0007"/>
        <s v="P0008"/>
        <s v="P0009"/>
        <s v="P0010"/>
        <s v="P0011"/>
        <s v="P0012"/>
        <s v="P0013"/>
        <s v="P0014"/>
        <s v="P0015"/>
        <s v="P0016"/>
        <s v="P0017"/>
        <s v="P0018"/>
        <s v="P0019"/>
        <s v="P0020"/>
        <s v="P0021"/>
        <s v="P0022"/>
        <s v="P0023"/>
        <s v="P0024"/>
        <s v="P0025"/>
        <s v="P0026"/>
        <s v="P0027"/>
        <s v="P0028"/>
        <s v="P0029"/>
        <s v="P0030"/>
        <s v="P0031"/>
        <s v="P0032"/>
        <s v="P0033"/>
        <s v="P0034"/>
        <s v="P0035"/>
        <s v="P0036"/>
        <s v="P0037"/>
        <s v="P0038"/>
        <s v="P0039"/>
        <s v="P0040"/>
        <s v="P0041"/>
        <s v="P0042"/>
        <s v="P0043"/>
        <s v="P0044"/>
        <s v="P0045"/>
        <s v="P0046"/>
        <s v="P0047"/>
        <s v="P0048"/>
        <s v="P0049"/>
        <s v="P0050"/>
        <s v="P0051"/>
        <s v="P0052"/>
        <s v="P0053"/>
        <s v="P0054"/>
        <s v="P0055"/>
        <s v="P0056"/>
        <s v="P0057"/>
        <s v="P0058"/>
        <s v="P0059"/>
        <s v="P0060"/>
        <s v="P0061"/>
        <s v="P0062"/>
        <s v="P0063"/>
        <s v="P0064"/>
        <s v="P0065"/>
        <s v="P0066"/>
        <s v="P0067"/>
        <s v="P0068"/>
        <s v="P0069"/>
        <s v="P0070"/>
        <s v="P0071"/>
        <s v="P0072"/>
        <s v="P0073"/>
        <s v="P0074"/>
        <s v="P0075"/>
        <s v="P0076"/>
        <s v="P0077"/>
        <s v="P0078"/>
        <s v="P0079"/>
        <s v="P0080"/>
        <s v="P0081"/>
        <s v="P0082"/>
        <s v="P0083"/>
        <s v="P0084"/>
        <s v="P0085"/>
        <s v="P0086"/>
        <s v="P0087"/>
        <s v="P0088"/>
        <s v="P0089"/>
        <s v="P0090"/>
        <s v="P0091"/>
        <s v="P0092"/>
        <s v="P0093"/>
        <s v="P0094"/>
        <s v="P0095"/>
        <s v="P0096"/>
        <s v="P0097"/>
        <s v="P0098"/>
        <s v="P0099"/>
        <s v="P0100"/>
        <s v="P0101"/>
        <s v="P0102"/>
        <s v="P0103"/>
        <s v="P0104"/>
        <s v="P0105"/>
        <s v="P0106"/>
        <s v="P0107"/>
        <s v="P0108"/>
        <s v="P0109"/>
        <s v="P0110"/>
        <s v="P0111"/>
        <s v="P0112"/>
        <s v="P0113"/>
        <s v="P0114"/>
        <s v="P0115"/>
        <s v="P0116"/>
        <s v="P0117"/>
        <s v="P0118"/>
        <s v="P0119"/>
        <s v="P0120"/>
        <s v="P0121"/>
        <s v="P0122"/>
        <s v="P0123"/>
        <s v="P0124"/>
        <s v="P0125"/>
        <s v="P0126"/>
        <s v="P0127"/>
        <s v="P0128"/>
        <s v="P0129"/>
        <s v="P0130"/>
        <s v="P0131"/>
        <s v="P0132"/>
        <s v="P0133"/>
        <s v="P0134"/>
        <s v="P0135"/>
        <s v="P0136"/>
        <s v="P0137"/>
        <s v="P0138"/>
        <s v="P0139"/>
        <s v="P0140"/>
        <s v="P0141"/>
        <s v="P0142"/>
        <s v="P0143"/>
        <s v="P0144"/>
        <s v="P0145"/>
        <s v="P0146"/>
        <s v="P0147"/>
        <s v="P0148"/>
        <s v="P0149"/>
        <s v="P0150"/>
        <s v="P0151"/>
        <s v="P0152"/>
        <s v="P0153"/>
        <s v="P0154"/>
        <s v="P0155"/>
        <s v="P0156"/>
        <s v="P0157"/>
        <s v="P0158"/>
        <s v="P0159"/>
        <s v="P0160"/>
        <s v="P0161"/>
        <s v="P0162"/>
        <s v="P0163"/>
        <s v="P0164"/>
        <s v="P0165"/>
        <s v="P0166"/>
        <s v="P0167"/>
        <s v="P0168"/>
        <s v="P0169"/>
        <s v="P0170"/>
        <s v="P0171"/>
        <s v="P0172"/>
        <s v="P0173"/>
        <s v="P0174"/>
        <s v="P0175"/>
        <s v="P0176"/>
        <s v="P0177"/>
        <s v="P0178"/>
        <s v="P0179"/>
        <s v="P0180"/>
        <s v="P0181"/>
        <s v="P0182"/>
        <s v="P0183"/>
        <s v="P0184"/>
        <s v="P0185"/>
        <s v="P0186"/>
        <s v="P0187"/>
        <s v="P0188"/>
        <s v="P0189"/>
        <s v="P0190"/>
        <s v="P0191"/>
        <s v="P0192"/>
        <s v="P0193"/>
        <s v="P0194"/>
        <s v="P0195"/>
        <s v="P0196"/>
        <s v="P0197"/>
        <s v="P0198"/>
        <s v="P0199"/>
        <s v="P0200"/>
        <s v="P0201"/>
        <s v="P0202"/>
        <s v="P0203"/>
        <s v="P0204"/>
        <s v="P0205"/>
        <s v="P0206"/>
        <s v="P0207"/>
        <s v="P0208"/>
        <s v="P0209"/>
        <s v="P0210"/>
        <s v="P0211"/>
        <s v="P0212"/>
        <s v="P0213"/>
        <s v="P0214"/>
        <s v="P0215"/>
        <s v="P0216"/>
        <s v="P0217"/>
        <s v="P0218"/>
        <s v="P0219"/>
        <s v="P0220"/>
        <s v="P0221"/>
        <s v="P0222"/>
        <s v="P0223"/>
        <s v="P0224"/>
        <s v="P0225"/>
        <s v="P0226"/>
        <s v="P0227"/>
        <s v="P0228"/>
        <s v="P0229"/>
        <s v="P0230"/>
        <s v="P0231"/>
        <s v="P0232"/>
        <s v="P0233"/>
        <s v="P0234"/>
        <s v="P0235"/>
        <s v="P0236"/>
        <s v="P0237"/>
        <s v="P0238"/>
        <s v="P0239"/>
        <s v="P0240"/>
        <s v="P0241"/>
        <s v="P0242"/>
        <s v="P0243"/>
        <s v="P0244"/>
        <s v="P0245"/>
        <s v="P0246"/>
        <s v="P0247"/>
        <s v="P0248"/>
        <s v="P0249"/>
        <s v="P0250"/>
        <s v="P0251"/>
        <s v="P0252"/>
        <s v="P0253"/>
        <s v="P0254"/>
        <s v="P0255"/>
        <s v="P0256"/>
        <s v="P0257"/>
        <s v="P0258"/>
        <s v="P0259"/>
        <s v="P0260"/>
        <s v="P0261"/>
        <s v="P0262"/>
        <s v="P0263"/>
        <s v="P0264"/>
        <s v="P0265"/>
        <s v="P0266"/>
        <s v="P0267"/>
        <s v="P0268"/>
        <s v="P0269"/>
        <s v="P0270"/>
        <s v="P0271"/>
        <s v="P0272"/>
        <s v="P0273"/>
        <s v="P0274"/>
        <s v="P0275"/>
        <s v="P0276"/>
        <s v="P0277"/>
        <s v="P0278"/>
        <s v="P0279"/>
        <s v="P0280"/>
        <s v="P0281"/>
        <s v="P0282"/>
        <s v="P0283"/>
        <s v="P0284"/>
        <s v="P0285"/>
        <s v="P0286"/>
        <s v="P0287"/>
        <s v="P0288"/>
        <s v="P0289"/>
        <s v="P0290"/>
        <s v="P0291"/>
        <s v="P0292"/>
        <s v="P0293"/>
        <s v="P0294"/>
        <s v="P0295"/>
        <s v="P0296"/>
        <s v="P0297"/>
        <s v="P0298"/>
        <s v="P0299"/>
        <s v="P0300"/>
        <s v="P0301"/>
        <s v="P0302"/>
        <s v="P0303"/>
        <s v="P0304"/>
        <s v="P0305"/>
        <s v="P0306"/>
        <s v="P0307"/>
        <s v="P0308"/>
        <s v="P0309"/>
        <s v="P0310"/>
        <s v="P0311"/>
        <s v="P0312"/>
        <s v="P0313"/>
        <s v="P0314"/>
        <s v="P0315"/>
        <s v="P0316"/>
        <s v="P0317"/>
        <s v="P0318"/>
        <s v="P0319"/>
        <s v="P0320"/>
        <s v="P0321"/>
        <s v="P0322"/>
        <s v="P0323"/>
        <s v="P0324"/>
        <s v="P0325"/>
        <s v="P0326"/>
        <s v="P0327"/>
        <s v="P0328"/>
        <s v="P0329"/>
        <s v="P0330"/>
        <s v="P0331"/>
        <s v="P0332"/>
        <s v="P0333"/>
        <s v="P0334"/>
        <s v="P0335"/>
        <s v="P0336"/>
        <s v="P0337"/>
        <s v="P0338"/>
        <s v="P0339"/>
        <s v="P0340"/>
        <s v="P0341"/>
        <s v="P0342"/>
        <s v="P0343"/>
        <s v="P0344"/>
        <s v="P0345"/>
        <s v="P0346"/>
        <s v="P0347"/>
        <s v="P0348"/>
        <s v="P0349"/>
        <s v="P0350"/>
        <s v="P0351"/>
        <s v="P0352"/>
        <s v="P0353"/>
        <s v="P0354"/>
        <s v="P0355"/>
        <s v="P0356"/>
        <s v="P0357"/>
        <s v="P0358"/>
        <s v="P0359"/>
        <s v="P0360"/>
        <s v="P0361"/>
        <s v="P0362"/>
        <s v="P0363"/>
        <s v="P0364"/>
        <s v="P0365"/>
        <s v="P0366"/>
        <s v="P0367"/>
        <s v="P0368"/>
        <s v="P0369"/>
        <s v="P0370"/>
        <s v="P0371"/>
        <s v="P0372"/>
        <s v="P0373"/>
        <s v="P0374"/>
        <s v="P0375"/>
        <s v="P0376"/>
        <s v="P0377"/>
        <s v="P0378"/>
        <s v="P0379"/>
        <s v="P0380"/>
        <s v="P0381"/>
        <s v="P0382"/>
        <s v="P0383"/>
        <s v="P0384"/>
        <s v="P0385"/>
        <s v="P0386"/>
        <s v="P0387"/>
        <s v="P0388"/>
        <s v="P0389"/>
        <s v="P0390"/>
        <s v="P0391"/>
        <s v="P0392"/>
        <s v="P0393"/>
        <s v="P0394"/>
        <s v="P0395"/>
        <s v="P0396"/>
        <s v="P0397"/>
        <s v="P0398"/>
        <s v="P0399"/>
        <s v="P0400"/>
        <s v="P0401"/>
        <s v="P0402"/>
        <s v="P0403"/>
        <s v="P0404"/>
        <s v="P0405"/>
        <s v="P0406"/>
        <s v="P0407"/>
        <s v="P0408"/>
        <s v="P0409"/>
        <s v="P0410"/>
        <s v="P0411"/>
        <s v="P0412"/>
        <s v="P0413"/>
        <s v="P0414"/>
        <s v="P0415"/>
        <s v="P0416"/>
        <s v="P0417"/>
        <s v="P0418"/>
        <s v="P0419"/>
        <s v="P0420"/>
        <s v="P0421"/>
        <s v="P0422"/>
        <s v="P0423"/>
        <s v="P0424"/>
        <s v="P0425"/>
        <s v="P0426"/>
        <s v="P0427"/>
        <s v="P0428"/>
        <s v="P0429"/>
        <s v="P0430"/>
        <s v="P0431"/>
        <s v="P0432"/>
        <s v="P0433"/>
        <s v="P0434"/>
        <s v="P0435"/>
        <s v="P0436"/>
        <s v="P0437"/>
        <s v="P0438"/>
        <s v="P0439"/>
        <s v="P0440"/>
        <s v="P0441"/>
        <s v="P0442"/>
        <s v="P0443"/>
        <s v="P0444"/>
        <s v="P0445"/>
        <s v="P0446"/>
        <s v="P0447"/>
        <s v="P0448"/>
        <s v="P0449"/>
        <s v="P0450"/>
        <s v="P0451"/>
        <s v="P0452"/>
        <s v="P0453"/>
        <s v="P0454"/>
        <s v="P0455"/>
        <s v="P0456"/>
        <s v="P0457"/>
        <s v="P0458"/>
        <s v="P0459"/>
        <s v="P0460"/>
        <s v="P0461"/>
        <s v="P0462"/>
        <s v="P0463"/>
        <s v="P0464"/>
        <s v="P0465"/>
        <s v="P0466"/>
        <s v="P0467"/>
        <s v="P0468"/>
        <s v="P0469"/>
        <s v="P0470"/>
        <s v="P0471"/>
        <s v="P0472"/>
        <s v="P0473"/>
        <s v="P0474"/>
        <s v="P0475"/>
        <s v="P0476"/>
        <s v="P0477"/>
        <s v="P0478"/>
        <s v="P0479"/>
        <s v="P0480"/>
        <s v="P0481"/>
        <s v="P0482"/>
        <s v="P0483"/>
        <s v="P0484"/>
        <s v="P0485"/>
        <s v="P0486"/>
        <s v="P0487"/>
        <s v="P0488"/>
        <s v="P0489"/>
        <s v="P0490"/>
        <s v="P0491"/>
        <s v="P0492"/>
        <s v="P0493"/>
        <s v="P0494"/>
        <s v="P0495"/>
        <s v="P0496"/>
        <s v="P0497"/>
        <s v="P0498"/>
        <s v="P0499"/>
        <s v="P0500"/>
        <s v="P0501"/>
        <s v="P0502"/>
        <s v="P0503"/>
        <s v="P0504"/>
        <s v="P0505"/>
        <s v="P0506"/>
        <s v="P0507"/>
        <s v="P0508"/>
        <s v="P0509"/>
        <s v="P0510"/>
        <s v="P0511"/>
        <s v="P0512"/>
        <s v="P0513"/>
        <s v="P0514"/>
        <s v="P0515"/>
        <s v="P0516"/>
        <s v="P0517"/>
        <s v="P0518"/>
        <s v="P0519"/>
        <s v="P0520"/>
        <s v="P0521"/>
        <s v="P0522"/>
        <s v="P0523"/>
        <s v="P0524"/>
        <s v="P0525"/>
        <s v="P0526"/>
        <s v="P0527"/>
        <s v="P0528"/>
        <s v="P0529"/>
        <s v="P0530"/>
        <s v="P0531"/>
        <s v="P0532"/>
        <s v="P0533"/>
        <s v="P0534"/>
        <s v="P0535"/>
        <s v="P0536"/>
        <s v="P0537"/>
        <s v="P0538"/>
        <s v="P0539"/>
        <s v="P0540"/>
        <s v="P0541"/>
        <s v="P0542"/>
        <s v="P0543"/>
        <s v="P0544"/>
        <s v="P0545"/>
        <s v="P0546"/>
        <s v="P0547"/>
        <s v="P0548"/>
        <s v="P0549"/>
        <s v="P0550"/>
        <s v="P0551"/>
        <s v="P0552"/>
        <s v="P0553"/>
        <s v="P0554"/>
        <s v="P0555"/>
        <s v="P0556"/>
        <s v="P0557"/>
        <s v="P0558"/>
        <s v="P0559"/>
        <s v="P0560"/>
        <s v="P0561"/>
        <s v="P0562"/>
        <s v="P0563"/>
        <s v="P0564"/>
        <s v="P0565"/>
        <s v="P0566"/>
        <s v="P0567"/>
        <s v="P0568"/>
        <s v="P0569"/>
        <s v="P0570"/>
        <s v="P0571"/>
        <s v="P0572"/>
        <s v="P0573"/>
        <s v="P0574"/>
        <s v="P0575"/>
        <s v="P0576"/>
        <s v="P0577"/>
        <s v="P0578"/>
        <s v="P0579"/>
        <s v="P0580"/>
        <s v="P0581"/>
        <s v="P0582"/>
        <s v="P0583"/>
        <s v="P0584"/>
        <s v="P0585"/>
        <s v="P0586"/>
        <s v="P0587"/>
        <s v="P0588"/>
        <s v="P0589"/>
        <s v="P0590"/>
        <s v="P0591"/>
        <s v="P0592"/>
        <s v="P0593"/>
        <s v="P0594"/>
        <s v="P0595"/>
        <s v="P0596"/>
        <s v="P0597"/>
        <s v="P0598"/>
        <s v="P0599"/>
        <s v="P0600"/>
        <s v="P0601"/>
        <s v="P0602"/>
        <s v="P0603"/>
        <s v="P0604"/>
        <s v="P0605"/>
        <s v="P0606"/>
        <s v="P0607"/>
        <s v="P0608"/>
        <s v="P0609"/>
        <s v="P0610"/>
        <s v="P0611"/>
        <s v="P0612"/>
        <s v="P0613"/>
        <s v="P0614"/>
        <s v="P0615"/>
        <s v="P0616"/>
        <s v="P0617"/>
        <s v="P0618"/>
        <s v="P0619"/>
        <s v="P0620"/>
        <s v="P0621"/>
        <s v="P0622"/>
        <s v="P0623"/>
        <s v="P0624"/>
        <s v="P0625"/>
        <s v="P0626"/>
        <s v="P0627"/>
        <s v="P0628"/>
        <s v="P0629"/>
        <s v="P0630"/>
        <s v="P0631"/>
        <s v="P0632"/>
        <s v="P0633"/>
        <s v="P0634"/>
        <s v="P0635"/>
        <s v="P0636"/>
        <s v="P0637"/>
        <s v="P0638"/>
        <s v="P0639"/>
        <s v="P0640"/>
        <s v="P0641"/>
        <s v="P0642"/>
        <s v="P0643"/>
        <s v="P0644"/>
        <s v="P0645"/>
        <s v="P0646"/>
        <s v="P0647"/>
        <s v="P0648"/>
        <s v="P0649"/>
        <s v="P0650"/>
        <s v="P0651"/>
        <s v="P0652"/>
        <s v="P0653"/>
        <s v="P0654"/>
        <s v="P0655"/>
        <s v="P0656"/>
        <s v="P0657"/>
        <s v="P0658"/>
        <s v="P0659"/>
        <s v="P0660"/>
        <s v="P0661"/>
        <s v="P0662"/>
        <s v="P0663"/>
        <s v="P0664"/>
        <s v="P0665"/>
        <s v="P0666"/>
        <s v="P0667"/>
        <s v="P0668"/>
        <s v="P0669"/>
        <s v="P0670"/>
        <s v="P0671"/>
        <s v="P0672"/>
        <s v="P0673"/>
        <s v="P0674"/>
        <s v="P0675"/>
        <s v="P0676"/>
        <s v="P0677"/>
        <s v="P0678"/>
        <s v="P0679"/>
        <s v="P0680"/>
        <s v="P0681"/>
        <s v="P0682"/>
        <s v="P0683"/>
        <s v="P0684"/>
        <s v="P0685"/>
        <s v="P0686"/>
        <s v="P0687"/>
        <s v="P0688"/>
        <s v="P0689"/>
        <s v="P0690"/>
        <s v="P0691"/>
        <s v="P0692"/>
        <s v="P0693"/>
        <s v="P0694"/>
        <s v="P0695"/>
        <s v="P0696"/>
        <s v="P0697"/>
        <s v="P0698"/>
        <s v="P0699"/>
        <s v="P0700"/>
        <s v="P0701"/>
        <s v="P0702"/>
        <s v="P0703"/>
        <s v="P0704"/>
        <s v="P0705"/>
        <s v="P0706"/>
        <s v="P0707"/>
        <s v="P0708"/>
        <s v="P0709"/>
        <s v="P0710"/>
        <s v="P0711"/>
        <s v="P0712"/>
        <s v="P0713"/>
        <s v="P0714"/>
        <s v="P0715"/>
        <s v="P0716"/>
        <s v="P0717"/>
        <s v="P0718"/>
        <s v="P0719"/>
        <s v="P0720"/>
        <s v="P0721"/>
        <s v="P0722"/>
        <s v="P0723"/>
        <s v="P0724"/>
        <s v="P0725"/>
        <s v="P0726"/>
        <s v="P0727"/>
        <s v="P0728"/>
        <s v="P0729"/>
        <s v="P0730"/>
        <s v="P0731"/>
        <s v="P0732"/>
        <s v="P0733"/>
        <s v="P0734"/>
        <s v="P0735"/>
        <s v="P0736"/>
        <s v="P0737"/>
        <s v="P0738"/>
        <s v="P0739"/>
        <s v="P0740"/>
        <s v="P0741"/>
        <s v="P0742"/>
        <s v="P0743"/>
        <s v="P0744"/>
        <s v="P0745"/>
        <s v="P0746"/>
        <s v="P0747"/>
        <s v="P0748"/>
        <s v="P0749"/>
        <s v="P0750"/>
        <s v="P0751"/>
        <s v="P0752"/>
        <s v="P0753"/>
        <s v="P0754"/>
        <s v="P0755"/>
        <s v="P0756"/>
        <s v="P0757"/>
        <s v="P0758"/>
        <s v="P0759"/>
        <s v="P0760"/>
        <s v="P0761"/>
        <s v="P0762"/>
        <s v="P0763"/>
        <s v="P0764"/>
        <s v="P0765"/>
        <s v="P0766"/>
        <s v="P0767"/>
        <s v="P0768"/>
        <s v="P0769"/>
        <s v="P0770"/>
        <s v="P0771"/>
        <s v="P0772"/>
        <s v="P0773"/>
        <s v="P0774"/>
        <s v="P0775"/>
        <s v="P0776"/>
        <s v="P0777"/>
        <s v="P0778"/>
        <s v="P0779"/>
        <s v="P0780"/>
        <s v="P0781"/>
        <s v="P0782"/>
        <s v="P0783"/>
        <s v="P0784"/>
        <s v="P0785"/>
        <s v="P0786"/>
        <s v="P0787"/>
        <s v="P0788"/>
        <s v="P0789"/>
        <s v="P0790"/>
        <s v="P0791"/>
        <s v="P0792"/>
        <s v="P0793"/>
        <s v="P0794"/>
        <s v="P0795"/>
        <s v="P0796"/>
        <s v="P0797"/>
        <s v="P0798"/>
        <s v="P0799"/>
        <s v="P0800"/>
        <s v="P0801"/>
        <s v="P0802"/>
        <s v="P0803"/>
        <s v="P0804"/>
        <s v="P0805"/>
        <s v="P0806"/>
        <s v="P0807"/>
        <s v="P0808"/>
        <s v="P0809"/>
        <s v="P0810"/>
        <s v="P0811"/>
        <s v="P0812"/>
        <s v="P0813"/>
        <s v="P0814"/>
        <s v="P0815"/>
        <s v="P0816"/>
        <s v="P0817"/>
        <s v="P0818"/>
        <s v="P0819"/>
        <s v="P0820"/>
        <s v="P0821"/>
        <s v="P0822"/>
        <s v="P0823"/>
        <s v="P0824"/>
        <s v="P0825"/>
        <s v="P0826"/>
        <s v="P0827"/>
        <s v="P0828"/>
        <s v="P0829"/>
        <s v="P0830"/>
        <s v="P0831"/>
        <s v="P0832"/>
        <s v="P0833"/>
        <s v="P0834"/>
        <s v="P0835"/>
        <s v="P0836"/>
        <s v="P0837"/>
        <s v="P0838"/>
        <s v="P0839"/>
        <s v="P0840"/>
        <s v="P0841"/>
        <s v="P0842"/>
        <s v="P0843"/>
        <s v="P0844"/>
        <s v="P0845"/>
        <s v="P0846"/>
        <s v="P0847"/>
        <s v="P0848"/>
        <s v="P0849"/>
        <s v="P0850"/>
        <s v="P0851"/>
        <s v="P0852"/>
        <s v="P0853"/>
        <s v="P0854"/>
        <s v="P0855"/>
        <s v="P0856"/>
        <s v="P0857"/>
        <s v="P0858"/>
        <s v="P0859"/>
        <s v="P0860"/>
        <s v="P0861"/>
        <s v="P0862"/>
        <s v="P0863"/>
        <s v="P0864"/>
        <s v="P0865"/>
        <s v="P0866"/>
        <s v="P0867"/>
        <s v="P0868"/>
        <s v="P0869"/>
        <s v="P0870"/>
        <s v="P0871"/>
        <s v="P0872"/>
        <s v="P0873"/>
        <s v="P0874"/>
        <s v="P0875"/>
        <s v="P0876"/>
        <s v="P0877"/>
        <s v="P0878"/>
        <s v="P0879"/>
        <s v="P0880"/>
        <s v="P0881"/>
        <s v="P0882"/>
        <s v="P0883"/>
        <s v="P0884"/>
        <s v="P0885"/>
        <s v="P0886"/>
        <s v="P0887"/>
        <s v="P0888"/>
        <s v="P0889"/>
        <s v="P0890"/>
        <s v="P0891"/>
        <s v="P0892"/>
        <s v="P0893"/>
        <s v="P0894"/>
        <s v="P0895"/>
        <s v="P0896"/>
        <s v="P0897"/>
        <s v="P0898"/>
        <s v="P0899"/>
        <s v="P0900"/>
        <s v="P0901"/>
        <s v="P0902"/>
        <s v="P0903"/>
        <s v="P0904"/>
        <s v="P0905"/>
        <s v="P0906"/>
        <s v="P0907"/>
        <s v="P0908"/>
        <s v="P0909"/>
        <s v="P0910"/>
        <s v="P0911"/>
        <s v="P0912"/>
        <s v="P0913"/>
        <s v="P0914"/>
        <s v="P0915"/>
        <s v="P0916"/>
        <s v="P0917"/>
        <s v="P0918"/>
        <s v="P0919"/>
        <s v="P0920"/>
        <s v="P0921"/>
        <s v="P0922"/>
        <s v="P0923"/>
        <s v="P0924"/>
        <s v="P0925"/>
        <s v="P0926"/>
        <s v="P0927"/>
        <s v="P0928"/>
        <s v="P0929"/>
        <s v="P0930"/>
        <s v="P0931"/>
        <s v="P0932"/>
        <s v="P0933"/>
        <s v="P0934"/>
        <s v="P0935"/>
        <s v="P0936"/>
        <s v="P0937"/>
        <s v="P0938"/>
        <s v="P0939"/>
        <s v="P0940"/>
        <s v="P0941"/>
        <s v="P0942"/>
        <s v="P0943"/>
        <s v="P0944"/>
        <s v="P0945"/>
        <s v="P0946"/>
        <s v="P0947"/>
        <s v="P0948"/>
        <s v="P0949"/>
        <s v="P0950"/>
        <s v="P0951"/>
        <s v="P0952"/>
        <s v="P0953"/>
        <s v="P0954"/>
        <s v="P0955"/>
        <s v="P0956"/>
        <s v="P0957"/>
        <s v="P0958"/>
        <s v="P0959"/>
        <s v="P0960"/>
        <s v="P0961"/>
        <s v="P0962"/>
        <s v="P0963"/>
        <s v="P0964"/>
        <s v="P0965"/>
        <s v="P0966"/>
        <s v="P0967"/>
        <s v="P0968"/>
        <s v="P0969"/>
        <s v="P0970"/>
        <s v="P0971"/>
        <s v="P0972"/>
        <s v="P0973"/>
        <s v="P0974"/>
        <s v="P0975"/>
        <s v="P0976"/>
        <s v="P0977"/>
        <s v="P0978"/>
        <s v="P0979"/>
        <s v="P0980"/>
        <s v="P0981"/>
        <s v="P0982"/>
        <s v="P0983"/>
        <s v="P0984"/>
        <s v="P0985"/>
        <s v="P0986"/>
        <s v="P0987"/>
        <s v="P0988"/>
        <s v="P0989"/>
        <s v="P0990"/>
        <s v="P0991"/>
        <s v="P0992"/>
        <s v="P0993"/>
        <s v="P0994"/>
        <s v="P0995"/>
        <s v="P0996"/>
        <s v="P0997"/>
        <s v="P0998"/>
        <s v="P0999"/>
        <s v="P1000"/>
      </sharedItems>
    </cacheField>
    <cacheField name="Age" numFmtId="1">
      <sharedItems containsSemiMixedTypes="0" containsString="0" containsNumber="1" containsInteger="1" minValue="1" maxValue="90"/>
    </cacheField>
    <cacheField name="Gender" numFmtId="49">
      <sharedItems count="2">
        <s v="Female"/>
        <s v="Male"/>
      </sharedItems>
    </cacheField>
    <cacheField name="Department" numFmtId="49">
      <sharedItems count="6">
        <s v="Orthopedics"/>
        <s v="Cardiology"/>
        <s v="Neurology"/>
        <s v="Dermatology"/>
        <s v="Gynecology"/>
        <s v="Pediatrics"/>
      </sharedItems>
    </cacheField>
    <cacheField name="Visit_Date" numFmtId="14">
      <sharedItems containsSemiMixedTypes="0" containsNonDate="0" containsDate="1" containsString="0" minDate="2023-01-01T00:00:00" maxDate="2024-12-02T00:00:00" count="537">
        <d v="2024-02-27T00:00:00"/>
        <d v="2024-07-12T00:00:00"/>
        <d v="2024-01-22T00:00:00"/>
        <d v="2023-10-24T00:00:00"/>
        <d v="2023-08-21T00:00:00"/>
        <d v="2024-08-02T00:00:00"/>
        <d v="2023-05-18T00:00:00"/>
        <d v="2024-08-20T00:00:00"/>
        <d v="2023-06-07T00:00:00"/>
        <d v="2023-11-23T00:00:00"/>
        <d v="2024-06-03T00:00:00"/>
        <d v="2024-09-12T00:00:00"/>
        <d v="2023-06-25T00:00:00"/>
        <d v="2024-03-23T00:00:00"/>
        <d v="2024-04-21T00:00:00"/>
        <d v="2024-11-17T00:00:00"/>
        <d v="2023-11-03T00:00:00"/>
        <d v="2023-12-16T00:00:00"/>
        <d v="2023-05-10T00:00:00"/>
        <d v="2024-07-10T00:00:00"/>
        <d v="2024-08-15T00:00:00"/>
        <d v="2023-03-23T00:00:00"/>
        <d v="2023-11-07T00:00:00"/>
        <d v="2024-05-11T00:00:00"/>
        <d v="2024-07-16T00:00:00"/>
        <d v="2024-05-24T00:00:00"/>
        <d v="2024-07-30T00:00:00"/>
        <d v="2023-05-08T00:00:00"/>
        <d v="2024-06-30T00:00:00"/>
        <d v="2023-12-19T00:00:00"/>
        <d v="2024-06-22T00:00:00"/>
        <d v="2024-06-10T00:00:00"/>
        <d v="2023-07-29T00:00:00"/>
        <d v="2023-04-19T00:00:00"/>
        <d v="2023-07-15T00:00:00"/>
        <d v="2023-11-11T00:00:00"/>
        <d v="2023-07-24T00:00:00"/>
        <d v="2024-02-24T00:00:00"/>
        <d v="2023-03-19T00:00:00"/>
        <d v="2023-10-05T00:00:00"/>
        <d v="2024-08-26T00:00:00"/>
        <d v="2023-10-07T00:00:00"/>
        <d v="2024-10-16T00:00:00"/>
        <d v="2024-06-12T00:00:00"/>
        <d v="2023-01-12T00:00:00"/>
        <d v="2023-12-07T00:00:00"/>
        <d v="2024-11-28T00:00:00"/>
        <d v="2023-03-26T00:00:00"/>
        <d v="2023-12-06T00:00:00"/>
        <d v="2023-08-09T00:00:00"/>
        <d v="2024-10-17T00:00:00"/>
        <d v="2024-06-28T00:00:00"/>
        <d v="2023-06-08T00:00:00"/>
        <d v="2023-12-18T00:00:00"/>
        <d v="2023-03-24T00:00:00"/>
        <d v="2023-09-22T00:00:00"/>
        <d v="2023-11-09T00:00:00"/>
        <d v="2023-05-06T00:00:00"/>
        <d v="2023-03-05T00:00:00"/>
        <d v="2024-02-08T00:00:00"/>
        <d v="2024-02-12T00:00:00"/>
        <d v="2023-12-13T00:00:00"/>
        <d v="2024-11-09T00:00:00"/>
        <d v="2024-07-13T00:00:00"/>
        <d v="2024-11-08T00:00:00"/>
        <d v="2024-10-06T00:00:00"/>
        <d v="2024-06-16T00:00:00"/>
        <d v="2024-08-09T00:00:00"/>
        <d v="2023-04-07T00:00:00"/>
        <d v="2024-06-25T00:00:00"/>
        <d v="2023-01-13T00:00:00"/>
        <d v="2023-02-03T00:00:00"/>
        <d v="2024-05-05T00:00:00"/>
        <d v="2024-08-05T00:00:00"/>
        <d v="2024-10-24T00:00:00"/>
        <d v="2023-04-29T00:00:00"/>
        <d v="2024-10-01T00:00:00"/>
        <d v="2023-07-09T00:00:00"/>
        <d v="2023-09-23T00:00:00"/>
        <d v="2023-11-28T00:00:00"/>
        <d v="2024-09-25T00:00:00"/>
        <d v="2024-07-25T00:00:00"/>
        <d v="2023-02-25T00:00:00"/>
        <d v="2023-04-23T00:00:00"/>
        <d v="2024-10-21T00:00:00"/>
        <d v="2023-09-08T00:00:00"/>
        <d v="2024-08-23T00:00:00"/>
        <d v="2024-04-14T00:00:00"/>
        <d v="2024-09-24T00:00:00"/>
        <d v="2024-07-27T00:00:00"/>
        <d v="2024-06-29T00:00:00"/>
        <d v="2024-06-06T00:00:00"/>
        <d v="2023-01-10T00:00:00"/>
        <d v="2023-12-24T00:00:00"/>
        <d v="2023-05-14T00:00:00"/>
        <d v="2023-12-27T00:00:00"/>
        <d v="2024-05-16T00:00:00"/>
        <d v="2023-09-06T00:00:00"/>
        <d v="2024-04-12T00:00:00"/>
        <d v="2023-07-31T00:00:00"/>
        <d v="2023-08-16T00:00:00"/>
        <d v="2023-03-09T00:00:00"/>
        <d v="2024-09-22T00:00:00"/>
        <d v="2024-08-27T00:00:00"/>
        <d v="2024-02-26T00:00:00"/>
        <d v="2024-04-29T00:00:00"/>
        <d v="2024-03-27T00:00:00"/>
        <d v="2024-01-13T00:00:00"/>
        <d v="2024-01-10T00:00:00"/>
        <d v="2024-10-12T00:00:00"/>
        <d v="2024-06-17T00:00:00"/>
        <d v="2023-09-21T00:00:00"/>
        <d v="2023-07-03T00:00:00"/>
        <d v="2024-05-18T00:00:00"/>
        <d v="2024-04-06T00:00:00"/>
        <d v="2023-04-20T00:00:00"/>
        <d v="2023-11-24T00:00:00"/>
        <d v="2023-09-17T00:00:00"/>
        <d v="2023-05-09T00:00:00"/>
        <d v="2023-04-30T00:00:00"/>
        <d v="2024-10-30T00:00:00"/>
        <d v="2024-04-24T00:00:00"/>
        <d v="2023-02-17T00:00:00"/>
        <d v="2023-06-01T00:00:00"/>
        <d v="2024-11-24T00:00:00"/>
        <d v="2024-02-03T00:00:00"/>
        <d v="2024-10-28T00:00:00"/>
        <d v="2024-11-22T00:00:00"/>
        <d v="2024-09-23T00:00:00"/>
        <d v="2024-02-28T00:00:00"/>
        <d v="2024-09-15T00:00:00"/>
        <d v="2023-08-05T00:00:00"/>
        <d v="2023-10-19T00:00:00"/>
        <d v="2023-09-07T00:00:00"/>
        <d v="2023-05-15T00:00:00"/>
        <d v="2024-06-02T00:00:00"/>
        <d v="2024-08-29T00:00:00"/>
        <d v="2024-03-25T00:00:00"/>
        <d v="2023-11-01T00:00:00"/>
        <d v="2024-11-27T00:00:00"/>
        <d v="2023-09-18T00:00:00"/>
        <d v="2023-11-19T00:00:00"/>
        <d v="2024-03-30T00:00:00"/>
        <d v="2024-01-27T00:00:00"/>
        <d v="2024-04-13T00:00:00"/>
        <d v="2023-01-30T00:00:00"/>
        <d v="2023-04-14T00:00:00"/>
        <d v="2023-04-26T00:00:00"/>
        <d v="2024-09-13T00:00:00"/>
        <d v="2024-03-07T00:00:00"/>
        <d v="2024-01-30T00:00:00"/>
        <d v="2024-09-06T00:00:00"/>
        <d v="2023-07-16T00:00:00"/>
        <d v="2024-01-31T00:00:00"/>
        <d v="2024-02-20T00:00:00"/>
        <d v="2023-11-27T00:00:00"/>
        <d v="2024-06-26T00:00:00"/>
        <d v="2023-04-17T00:00:00"/>
        <d v="2023-01-09T00:00:00"/>
        <d v="2024-06-05T00:00:00"/>
        <d v="2024-10-18T00:00:00"/>
        <d v="2024-02-18T00:00:00"/>
        <d v="2024-09-10T00:00:00"/>
        <d v="2024-11-26T00:00:00"/>
        <d v="2024-11-21T00:00:00"/>
        <d v="2024-03-03T00:00:00"/>
        <d v="2024-04-03T00:00:00"/>
        <d v="2024-11-16T00:00:00"/>
        <d v="2023-09-09T00:00:00"/>
        <d v="2023-09-26T00:00:00"/>
        <d v="2023-11-25T00:00:00"/>
        <d v="2024-11-29T00:00:00"/>
        <d v="2024-05-30T00:00:00"/>
        <d v="2024-11-13T00:00:00"/>
        <d v="2023-02-16T00:00:00"/>
        <d v="2023-11-29T00:00:00"/>
        <d v="2024-09-16T00:00:00"/>
        <d v="2024-09-30T00:00:00"/>
        <d v="2023-10-09T00:00:00"/>
        <d v="2024-07-17T00:00:00"/>
        <d v="2024-06-27T00:00:00"/>
        <d v="2023-10-25T00:00:00"/>
        <d v="2023-10-20T00:00:00"/>
        <d v="2023-05-03T00:00:00"/>
        <d v="2023-07-05T00:00:00"/>
        <d v="2024-10-11T00:00:00"/>
        <d v="2023-02-04T00:00:00"/>
        <d v="2023-12-02T00:00:00"/>
        <d v="2024-09-07T00:00:00"/>
        <d v="2024-08-04T00:00:00"/>
        <d v="2023-08-17T00:00:00"/>
        <d v="2024-03-04T00:00:00"/>
        <d v="2023-12-03T00:00:00"/>
        <d v="2023-07-19T00:00:00"/>
        <d v="2023-01-26T00:00:00"/>
        <d v="2024-05-03T00:00:00"/>
        <d v="2023-12-09T00:00:00"/>
        <d v="2023-12-31T00:00:00"/>
        <d v="2024-06-04T00:00:00"/>
        <d v="2023-10-29T00:00:00"/>
        <d v="2023-05-20T00:00:00"/>
        <d v="2024-03-15T00:00:00"/>
        <d v="2023-11-21T00:00:00"/>
        <d v="2023-08-18T00:00:00"/>
        <d v="2023-02-05T00:00:00"/>
        <d v="2024-01-19T00:00:00"/>
        <d v="2024-09-17T00:00:00"/>
        <d v="2023-01-06T00:00:00"/>
        <d v="2024-04-26T00:00:00"/>
        <d v="2024-08-25T00:00:00"/>
        <d v="2023-02-21T00:00:00"/>
        <d v="2023-04-06T00:00:00"/>
        <d v="2024-10-14T00:00:00"/>
        <d v="2023-11-17T00:00:00"/>
        <d v="2024-04-17T00:00:00"/>
        <d v="2024-10-20T00:00:00"/>
        <d v="2023-10-28T00:00:00"/>
        <d v="2024-06-24T00:00:00"/>
        <d v="2023-03-04T00:00:00"/>
        <d v="2024-05-20T00:00:00"/>
        <d v="2023-08-20T00:00:00"/>
        <d v="2024-02-21T00:00:00"/>
        <d v="2024-01-14T00:00:00"/>
        <d v="2023-11-16T00:00:00"/>
        <d v="2023-10-08T00:00:00"/>
        <d v="2023-10-02T00:00:00"/>
        <d v="2023-10-26T00:00:00"/>
        <d v="2024-04-25T00:00:00"/>
        <d v="2023-08-26T00:00:00"/>
        <d v="2024-02-13T00:00:00"/>
        <d v="2023-04-15T00:00:00"/>
        <d v="2023-08-25T00:00:00"/>
        <d v="2024-07-05T00:00:00"/>
        <d v="2023-08-28T00:00:00"/>
        <d v="2024-09-04T00:00:00"/>
        <d v="2023-06-21T00:00:00"/>
        <d v="2024-04-01T00:00:00"/>
        <d v="2023-05-05T00:00:00"/>
        <d v="2023-02-08T00:00:00"/>
        <d v="2023-11-18T00:00:00"/>
        <d v="2024-08-08T00:00:00"/>
        <d v="2024-02-25T00:00:00"/>
        <d v="2024-04-23T00:00:00"/>
        <d v="2023-08-11T00:00:00"/>
        <d v="2024-11-06T00:00:00"/>
        <d v="2024-04-28T00:00:00"/>
        <d v="2023-10-13T00:00:00"/>
        <d v="2023-09-05T00:00:00"/>
        <d v="2024-01-07T00:00:00"/>
        <d v="2023-11-05T00:00:00"/>
        <d v="2024-05-22T00:00:00"/>
        <d v="2023-12-05T00:00:00"/>
        <d v="2024-08-19T00:00:00"/>
        <d v="2024-02-14T00:00:00"/>
        <d v="2024-04-02T00:00:00"/>
        <d v="2024-07-24T00:00:00"/>
        <d v="2023-08-04T00:00:00"/>
        <d v="2024-04-11T00:00:00"/>
        <d v="2023-07-23T00:00:00"/>
        <d v="2023-06-15T00:00:00"/>
        <d v="2023-05-23T00:00:00"/>
        <d v="2023-11-15T00:00:00"/>
        <d v="2023-04-04T00:00:00"/>
        <d v="2023-06-23T00:00:00"/>
        <d v="2024-01-15T00:00:00"/>
        <d v="2024-05-09T00:00:00"/>
        <d v="2023-05-24T00:00:00"/>
        <d v="2024-05-07T00:00:00"/>
        <d v="2024-01-17T00:00:00"/>
        <d v="2024-08-30T00:00:00"/>
        <d v="2024-02-15T00:00:00"/>
        <d v="2023-12-20T00:00:00"/>
        <d v="2024-10-10T00:00:00"/>
        <d v="2024-07-02T00:00:00"/>
        <d v="2023-01-24T00:00:00"/>
        <d v="2023-12-26T00:00:00"/>
        <d v="2024-09-14T00:00:00"/>
        <d v="2024-03-29T00:00:00"/>
        <d v="2023-02-12T00:00:00"/>
        <d v="2023-05-11T00:00:00"/>
        <d v="2024-06-11T00:00:00"/>
        <d v="2023-07-20T00:00:00"/>
        <d v="2024-02-11T00:00:00"/>
        <d v="2024-03-21T00:00:00"/>
        <d v="2024-05-27T00:00:00"/>
        <d v="2023-01-01T00:00:00"/>
        <d v="2023-03-02T00:00:00"/>
        <d v="2023-03-07T00:00:00"/>
        <d v="2023-01-28T00:00:00"/>
        <d v="2024-02-10T00:00:00"/>
        <d v="2023-04-21T00:00:00"/>
        <d v="2023-01-21T00:00:00"/>
        <d v="2023-03-31T00:00:00"/>
        <d v="2023-08-08T00:00:00"/>
        <d v="2024-08-03T00:00:00"/>
        <d v="2024-06-08T00:00:00"/>
        <d v="2023-07-01T00:00:00"/>
        <d v="2023-10-01T00:00:00"/>
        <d v="2023-10-30T00:00:00"/>
        <d v="2023-06-14T00:00:00"/>
        <d v="2023-02-13T00:00:00"/>
        <d v="2023-04-02T00:00:00"/>
        <d v="2023-07-06T00:00:00"/>
        <d v="2023-04-09T00:00:00"/>
        <d v="2024-09-02T00:00:00"/>
        <d v="2023-03-14T00:00:00"/>
        <d v="2023-03-15T00:00:00"/>
        <d v="2023-01-22T00:00:00"/>
        <d v="2023-05-28T00:00:00"/>
        <d v="2023-03-16T00:00:00"/>
        <d v="2024-07-23T00:00:00"/>
        <d v="2023-02-18T00:00:00"/>
        <d v="2024-11-15T00:00:00"/>
        <d v="2023-06-04T00:00:00"/>
        <d v="2024-02-09T00:00:00"/>
        <d v="2024-04-07T00:00:00"/>
        <d v="2023-08-07T00:00:00"/>
        <d v="2023-08-01T00:00:00"/>
        <d v="2024-05-02T00:00:00"/>
        <d v="2024-03-05T00:00:00"/>
        <d v="2023-10-21T00:00:00"/>
        <d v="2023-07-02T00:00:00"/>
        <d v="2023-08-15T00:00:00"/>
        <d v="2023-02-28T00:00:00"/>
        <d v="2024-09-20T00:00:00"/>
        <d v="2023-03-18T00:00:00"/>
        <d v="2023-05-25T00:00:00"/>
        <d v="2024-10-23T00:00:00"/>
        <d v="2024-09-11T00:00:00"/>
        <d v="2023-01-08T00:00:00"/>
        <d v="2023-01-11T00:00:00"/>
        <d v="2023-01-14T00:00:00"/>
        <d v="2023-04-16T00:00:00"/>
        <d v="2023-07-07T00:00:00"/>
        <d v="2023-12-21T00:00:00"/>
        <d v="2023-02-20T00:00:00"/>
        <d v="2024-01-21T00:00:00"/>
        <d v="2024-07-28T00:00:00"/>
        <d v="2024-04-10T00:00:00"/>
        <d v="2024-11-12T00:00:00"/>
        <d v="2023-03-22T00:00:00"/>
        <d v="2023-09-24T00:00:00"/>
        <d v="2024-01-01T00:00:00"/>
        <d v="2023-01-20T00:00:00"/>
        <d v="2024-05-19T00:00:00"/>
        <d v="2024-03-19T00:00:00"/>
        <d v="2023-08-03T00:00:00"/>
        <d v="2024-02-23T00:00:00"/>
        <d v="2023-01-04T00:00:00"/>
        <d v="2024-08-21T00:00:00"/>
        <d v="2024-03-09T00:00:00"/>
        <d v="2023-11-22T00:00:00"/>
        <d v="2023-06-12T00:00:00"/>
        <d v="2023-03-20T00:00:00"/>
        <d v="2023-10-14T00:00:00"/>
        <d v="2023-03-27T00:00:00"/>
        <d v="2024-05-10T00:00:00"/>
        <d v="2023-04-28T00:00:00"/>
        <d v="2024-12-01T00:00:00"/>
        <d v="2024-05-12T00:00:00"/>
        <d v="2023-03-13T00:00:00"/>
        <d v="2024-01-16T00:00:00"/>
        <d v="2023-05-29T00:00:00"/>
        <d v="2023-09-20T00:00:00"/>
        <d v="2023-05-04T00:00:00"/>
        <d v="2023-11-30T00:00:00"/>
        <d v="2024-02-19T00:00:00"/>
        <d v="2023-11-04T00:00:00"/>
        <d v="2023-11-08T00:00:00"/>
        <d v="2023-11-02T00:00:00"/>
        <d v="2024-06-18T00:00:00"/>
        <d v="2024-09-08T00:00:00"/>
        <d v="2023-12-29T00:00:00"/>
        <d v="2023-06-26T00:00:00"/>
        <d v="2023-08-10T00:00:00"/>
        <d v="2024-07-15T00:00:00"/>
        <d v="2023-06-28T00:00:00"/>
        <d v="2023-10-27T00:00:00"/>
        <d v="2024-01-28T00:00:00"/>
        <d v="2024-10-22T00:00:00"/>
        <d v="2024-10-27T00:00:00"/>
        <d v="2023-09-16T00:00:00"/>
        <d v="2024-01-06T00:00:00"/>
        <d v="2024-03-14T00:00:00"/>
        <d v="2023-06-10T00:00:00"/>
        <d v="2023-10-03T00:00:00"/>
        <d v="2023-04-12T00:00:00"/>
        <d v="2023-01-27T00:00:00"/>
        <d v="2023-09-14T00:00:00"/>
        <d v="2024-07-11T00:00:00"/>
        <d v="2023-09-28T00:00:00"/>
        <d v="2024-09-26T00:00:00"/>
        <d v="2024-01-12T00:00:00"/>
        <d v="2023-12-11T00:00:00"/>
        <d v="2023-06-24T00:00:00"/>
        <d v="2024-11-23T00:00:00"/>
        <d v="2024-05-28T00:00:00"/>
        <d v="2024-02-07T00:00:00"/>
        <d v="2023-08-24T00:00:00"/>
        <d v="2023-05-02T00:00:00"/>
        <d v="2023-10-22T00:00:00"/>
        <d v="2024-02-17T00:00:00"/>
        <d v="2024-11-20T00:00:00"/>
        <d v="2023-11-26T00:00:00"/>
        <d v="2024-10-31T00:00:00"/>
        <d v="2023-05-31T00:00:00"/>
        <d v="2023-07-26T00:00:00"/>
        <d v="2024-03-31T00:00:00"/>
        <d v="2023-04-27T00:00:00"/>
        <d v="2023-09-02T00:00:00"/>
        <d v="2024-08-07T00:00:00"/>
        <d v="2023-07-21T00:00:00"/>
        <d v="2023-09-25T00:00:00"/>
        <d v="2024-10-19T00:00:00"/>
        <d v="2024-03-08T00:00:00"/>
        <d v="2024-08-13T00:00:00"/>
        <d v="2024-06-09T00:00:00"/>
        <d v="2023-09-29T00:00:00"/>
        <d v="2023-05-21T00:00:00"/>
        <d v="2024-11-18T00:00:00"/>
        <d v="2023-06-22T00:00:00"/>
        <d v="2024-07-22T00:00:00"/>
        <d v="2023-12-15T00:00:00"/>
        <d v="2024-03-22T00:00:00"/>
        <d v="2023-01-23T00:00:00"/>
        <d v="2023-07-10T00:00:00"/>
        <d v="2023-07-30T00:00:00"/>
        <d v="2024-09-03T00:00:00"/>
        <d v="2024-07-08T00:00:00"/>
        <d v="2024-04-04T00:00:00"/>
        <d v="2024-06-23T00:00:00"/>
        <d v="2024-01-18T00:00:00"/>
        <d v="2023-07-22T00:00:00"/>
        <d v="2024-01-25T00:00:00"/>
        <d v="2024-08-22T00:00:00"/>
        <d v="2023-04-18T00:00:00"/>
        <d v="2023-09-30T00:00:00"/>
        <d v="2023-07-11T00:00:00"/>
        <d v="2023-06-09T00:00:00"/>
        <d v="2023-11-20T00:00:00"/>
        <d v="2023-10-10T00:00:00"/>
        <d v="2024-03-28T00:00:00"/>
        <d v="2023-09-11T00:00:00"/>
        <d v="2024-09-28T00:00:00"/>
        <d v="2023-09-01T00:00:00"/>
        <d v="2023-10-17T00:00:00"/>
        <d v="2023-01-03T00:00:00"/>
        <d v="2024-01-11T00:00:00"/>
        <d v="2023-07-04T00:00:00"/>
        <d v="2023-02-27T00:00:00"/>
        <d v="2024-02-06T00:00:00"/>
        <d v="2024-10-03T00:00:00"/>
        <d v="2023-11-14T00:00:00"/>
        <d v="2024-11-14T00:00:00"/>
        <d v="2023-05-13T00:00:00"/>
        <d v="2023-04-11T00:00:00"/>
        <d v="2023-01-15T00:00:00"/>
        <d v="2023-08-02T00:00:00"/>
        <d v="2023-08-19T00:00:00"/>
        <d v="2023-06-19T00:00:00"/>
        <d v="2024-09-05T00:00:00"/>
        <d v="2024-07-01T00:00:00"/>
        <d v="2023-06-16T00:00:00"/>
        <d v="2023-12-17T00:00:00"/>
        <d v="2024-11-07T00:00:00"/>
        <d v="2024-11-10T00:00:00"/>
        <d v="2024-06-07T00:00:00"/>
        <d v="2024-08-17T00:00:00"/>
        <d v="2023-11-10T00:00:00"/>
        <d v="2024-07-06T00:00:00"/>
        <d v="2023-03-12T00:00:00"/>
        <d v="2024-01-26T00:00:00"/>
        <d v="2024-08-16T00:00:00"/>
        <d v="2023-03-21T00:00:00"/>
        <d v="2024-02-22T00:00:00"/>
        <d v="2024-05-26T00:00:00"/>
        <d v="2023-01-02T00:00:00"/>
        <d v="2023-06-05T00:00:00"/>
        <d v="2024-08-24T00:00:00"/>
        <d v="2023-04-24T00:00:00"/>
        <d v="2023-05-19T00:00:00"/>
        <d v="2024-01-24T00:00:00"/>
        <d v="2023-07-28T00:00:00"/>
        <d v="2023-03-03T00:00:00"/>
        <d v="2024-07-07T00:00:00"/>
        <d v="2024-09-01T00:00:00"/>
        <d v="2024-05-14T00:00:00"/>
        <d v="2023-03-28T00:00:00"/>
        <d v="2023-01-17T00:00:00"/>
        <d v="2023-08-31T00:00:00"/>
        <d v="2024-11-25T00:00:00"/>
        <d v="2024-07-18T00:00:00"/>
        <d v="2023-04-25T00:00:00"/>
        <d v="2023-08-06T00:00:00"/>
        <d v="2023-05-26T00:00:00"/>
        <d v="2023-09-12T00:00:00"/>
        <d v="2023-06-20T00:00:00"/>
        <d v="2024-11-01T00:00:00"/>
        <d v="2024-06-21T00:00:00"/>
        <d v="2023-03-29T00:00:00"/>
        <d v="2024-05-08T00:00:00"/>
        <d v="2024-05-17T00:00:00"/>
        <d v="2023-07-18T00:00:00"/>
        <d v="2023-06-29T00:00:00"/>
        <d v="2023-02-01T00:00:00"/>
        <d v="2023-07-13T00:00:00"/>
        <d v="2023-04-03T00:00:00"/>
        <d v="2024-02-01T00:00:00"/>
        <d v="2024-08-01T00:00:00"/>
        <d v="2024-10-08T00:00:00"/>
        <d v="2024-01-04T00:00:00"/>
        <d v="2023-02-07T00:00:00"/>
        <d v="2023-09-03T00:00:00"/>
        <d v="2024-04-27T00:00:00"/>
        <d v="2024-03-20T00:00:00"/>
        <d v="2023-03-11T00:00:00"/>
        <d v="2023-12-25T00:00:00"/>
        <d v="2024-09-09T00:00:00"/>
        <d v="2024-06-14T00:00:00"/>
        <d v="2023-05-17T00:00:00"/>
        <d v="2023-01-07T00:00:00"/>
        <d v="2024-01-29T00:00:00"/>
        <d v="2024-10-07T00:00:00"/>
        <d v="2023-03-25T00:00:00"/>
        <d v="2024-08-28T00:00:00"/>
        <d v="2023-06-30T00:00:00"/>
        <d v="2024-07-31T00:00:00"/>
        <d v="2024-06-19T00:00:00"/>
        <d v="2023-08-27T00:00:00"/>
        <d v="2024-07-20T00:00:00"/>
        <d v="2023-10-16T00:00:00"/>
        <d v="2024-05-13T00:00:00"/>
        <d v="2023-04-01T00:00:00"/>
        <d v="2024-04-09T00:00:00"/>
        <d v="2024-10-26T00:00:00"/>
        <d v="2023-02-14T00:00:00"/>
        <d v="2024-05-23T00:00:00"/>
      </sharedItems>
      <fieldGroup par="12"/>
    </cacheField>
    <cacheField name="Diagnosis" numFmtId="49">
      <sharedItems/>
    </cacheField>
    <cacheField name="Treatment_Cost" numFmtId="168">
      <sharedItems containsSemiMixedTypes="0" containsString="0" containsNumber="1" containsInteger="1" minValue="505" maxValue="49947" count="986">
        <n v="25256"/>
        <n v="5622"/>
        <n v="33833"/>
        <n v="49160"/>
        <n v="38769"/>
        <n v="9538"/>
        <n v="29462"/>
        <n v="11169"/>
        <n v="22683"/>
        <n v="41591"/>
        <n v="37325"/>
        <n v="40322"/>
        <n v="1585"/>
        <n v="32794"/>
        <n v="41946"/>
        <n v="44034"/>
        <n v="35890"/>
        <n v="20761"/>
        <n v="34314"/>
        <n v="5816"/>
        <n v="47186"/>
        <n v="24442"/>
        <n v="46904"/>
        <n v="5130"/>
        <n v="15779"/>
        <n v="8113"/>
        <n v="27383"/>
        <n v="49266"/>
        <n v="36801"/>
        <n v="49814"/>
        <n v="14261"/>
        <n v="24304"/>
        <n v="22279"/>
        <n v="9985"/>
        <n v="38631"/>
        <n v="35971"/>
        <n v="11405"/>
        <n v="1819"/>
        <n v="16478"/>
        <n v="40281"/>
        <n v="38918"/>
        <n v="2914"/>
        <n v="27796"/>
        <n v="40231"/>
        <n v="13127"/>
        <n v="3771"/>
        <n v="3105"/>
        <n v="34411"/>
        <n v="20554"/>
        <n v="13428"/>
        <n v="34191"/>
        <n v="13781"/>
        <n v="28066"/>
        <n v="23554"/>
        <n v="44740"/>
        <n v="1200"/>
        <n v="41781"/>
        <n v="49234"/>
        <n v="45845"/>
        <n v="11201"/>
        <n v="41165"/>
        <n v="35207"/>
        <n v="3670"/>
        <n v="28055"/>
        <n v="41914"/>
        <n v="10240"/>
        <n v="40255"/>
        <n v="31040"/>
        <n v="6841"/>
        <n v="28794"/>
        <n v="34770"/>
        <n v="46175"/>
        <n v="20280"/>
        <n v="4850"/>
        <n v="41924"/>
        <n v="48016"/>
        <n v="2327"/>
        <n v="30512"/>
        <n v="15083"/>
        <n v="44318"/>
        <n v="40691"/>
        <n v="1282"/>
        <n v="21942"/>
        <n v="40700"/>
        <n v="23043"/>
        <n v="26714"/>
        <n v="41465"/>
        <n v="32002"/>
        <n v="37797"/>
        <n v="8654"/>
        <n v="1766"/>
        <n v="44373"/>
        <n v="38238"/>
        <n v="15801"/>
        <n v="5309"/>
        <n v="39635"/>
        <n v="33847"/>
        <n v="48610"/>
        <n v="38468"/>
        <n v="2358"/>
        <n v="46541"/>
        <n v="44018"/>
        <n v="29890"/>
        <n v="29664"/>
        <n v="3494"/>
        <n v="22376"/>
        <n v="7821"/>
        <n v="1865"/>
        <n v="9399"/>
        <n v="11310"/>
        <n v="20920"/>
        <n v="43057"/>
        <n v="26325"/>
        <n v="36192"/>
        <n v="29701"/>
        <n v="8180"/>
        <n v="33368"/>
        <n v="38416"/>
        <n v="25158"/>
        <n v="26282"/>
        <n v="33084"/>
        <n v="14724"/>
        <n v="29045"/>
        <n v="31685"/>
        <n v="2643"/>
        <n v="45940"/>
        <n v="24568"/>
        <n v="41905"/>
        <n v="41918"/>
        <n v="22901"/>
        <n v="46723"/>
        <n v="25826"/>
        <n v="11052"/>
        <n v="44649"/>
        <n v="46493"/>
        <n v="21118"/>
        <n v="28372"/>
        <n v="31172"/>
        <n v="13762"/>
        <n v="15775"/>
        <n v="16759"/>
        <n v="32442"/>
        <n v="48740"/>
        <n v="49646"/>
        <n v="32669"/>
        <n v="5508"/>
        <n v="30659"/>
        <n v="43235"/>
        <n v="33055"/>
        <n v="2509"/>
        <n v="33571"/>
        <n v="31374"/>
        <n v="48081"/>
        <n v="23310"/>
        <n v="42067"/>
        <n v="30074"/>
        <n v="20465"/>
        <n v="14157"/>
        <n v="21976"/>
        <n v="18527"/>
        <n v="31145"/>
        <n v="46545"/>
        <n v="46588"/>
        <n v="43484"/>
        <n v="42412"/>
        <n v="23208"/>
        <n v="36108"/>
        <n v="11512"/>
        <n v="36694"/>
        <n v="33068"/>
        <n v="7624"/>
        <n v="44698"/>
        <n v="35296"/>
        <n v="759"/>
        <n v="6477"/>
        <n v="40953"/>
        <n v="29873"/>
        <n v="6874"/>
        <n v="4823"/>
        <n v="41947"/>
        <n v="23963"/>
        <n v="25282"/>
        <n v="23973"/>
        <n v="33970"/>
        <n v="12278"/>
        <n v="555"/>
        <n v="17968"/>
        <n v="29160"/>
        <n v="35204"/>
        <n v="23767"/>
        <n v="29413"/>
        <n v="34628"/>
        <n v="44764"/>
        <n v="48786"/>
        <n v="32174"/>
        <n v="9611"/>
        <n v="17629"/>
        <n v="45114"/>
        <n v="36311"/>
        <n v="13027"/>
        <n v="3985"/>
        <n v="36396"/>
        <n v="29881"/>
        <n v="28431"/>
        <n v="30252"/>
        <n v="36369"/>
        <n v="12553"/>
        <n v="40093"/>
        <n v="48879"/>
        <n v="39615"/>
        <n v="10720"/>
        <n v="15150"/>
        <n v="4250"/>
        <n v="17793"/>
        <n v="12457"/>
        <n v="37403"/>
        <n v="6015"/>
        <n v="34473"/>
        <n v="36630"/>
        <n v="49565"/>
        <n v="12006"/>
        <n v="27986"/>
        <n v="43692"/>
        <n v="35779"/>
        <n v="29755"/>
        <n v="48032"/>
        <n v="515"/>
        <n v="33708"/>
        <n v="8991"/>
        <n v="36624"/>
        <n v="10993"/>
        <n v="22200"/>
        <n v="20582"/>
        <n v="28280"/>
        <n v="37557"/>
        <n v="7942"/>
        <n v="16575"/>
        <n v="40082"/>
        <n v="25818"/>
        <n v="17305"/>
        <n v="31786"/>
        <n v="37037"/>
        <n v="41469"/>
        <n v="31869"/>
        <n v="49797"/>
        <n v="22677"/>
        <n v="14434"/>
        <n v="39863"/>
        <n v="45155"/>
        <n v="11972"/>
        <n v="38489"/>
        <n v="34702"/>
        <n v="19863"/>
        <n v="25446"/>
        <n v="31499"/>
        <n v="19621"/>
        <n v="33459"/>
        <n v="8490"/>
        <n v="5264"/>
        <n v="10934"/>
        <n v="9701"/>
        <n v="11125"/>
        <n v="37280"/>
        <n v="7255"/>
        <n v="14910"/>
        <n v="16709"/>
        <n v="37841"/>
        <n v="15527"/>
        <n v="16520"/>
        <n v="16556"/>
        <n v="23213"/>
        <n v="47537"/>
        <n v="33416"/>
        <n v="13220"/>
        <n v="34026"/>
        <n v="19392"/>
        <n v="38563"/>
        <n v="32080"/>
        <n v="31793"/>
        <n v="19326"/>
        <n v="19700"/>
        <n v="31308"/>
        <n v="48248"/>
        <n v="49597"/>
        <n v="49897"/>
        <n v="13555"/>
        <n v="18947"/>
        <n v="11899"/>
        <n v="10378"/>
        <n v="48049"/>
        <n v="19748"/>
        <n v="44524"/>
        <n v="17159"/>
        <n v="45068"/>
        <n v="16181"/>
        <n v="20127"/>
        <n v="8086"/>
        <n v="36831"/>
        <n v="27369"/>
        <n v="17723"/>
        <n v="39160"/>
        <n v="9773"/>
        <n v="28191"/>
        <n v="41258"/>
        <n v="20888"/>
        <n v="44626"/>
        <n v="48508"/>
        <n v="7551"/>
        <n v="29205"/>
        <n v="10326"/>
        <n v="38858"/>
        <n v="15058"/>
        <n v="41962"/>
        <n v="35520"/>
        <n v="27479"/>
        <n v="26139"/>
        <n v="9488"/>
        <n v="6142"/>
        <n v="2926"/>
        <n v="45865"/>
        <n v="33154"/>
        <n v="18576"/>
        <n v="21223"/>
        <n v="39914"/>
        <n v="32143"/>
        <n v="42991"/>
        <n v="1510"/>
        <n v="14967"/>
        <n v="11253"/>
        <n v="39773"/>
        <n v="37209"/>
        <n v="35726"/>
        <n v="33152"/>
        <n v="3573"/>
        <n v="8338"/>
        <n v="37156"/>
        <n v="13011"/>
        <n v="9722"/>
        <n v="11324"/>
        <n v="33480"/>
        <n v="44048"/>
        <n v="2286"/>
        <n v="32914"/>
        <n v="16954"/>
        <n v="6754"/>
        <n v="3578"/>
        <n v="32571"/>
        <n v="42977"/>
        <n v="41068"/>
        <n v="4045"/>
        <n v="12079"/>
        <n v="6966"/>
        <n v="6236"/>
        <n v="26475"/>
        <n v="27765"/>
        <n v="29351"/>
        <n v="11182"/>
        <n v="9014"/>
        <n v="9464"/>
        <n v="47466"/>
        <n v="37451"/>
        <n v="46397"/>
        <n v="7745"/>
        <n v="32431"/>
        <n v="36679"/>
        <n v="15994"/>
        <n v="38214"/>
        <n v="24234"/>
        <n v="15003"/>
        <n v="38972"/>
        <n v="25127"/>
        <n v="31622"/>
        <n v="43769"/>
        <n v="20954"/>
        <n v="43916"/>
        <n v="15826"/>
        <n v="15712"/>
        <n v="22304"/>
        <n v="25389"/>
        <n v="13726"/>
        <n v="15502"/>
        <n v="41820"/>
        <n v="17574"/>
        <n v="13118"/>
        <n v="32680"/>
        <n v="16970"/>
        <n v="2808"/>
        <n v="44724"/>
        <n v="21642"/>
        <n v="14483"/>
        <n v="1581"/>
        <n v="13509"/>
        <n v="19030"/>
        <n v="17439"/>
        <n v="40723"/>
        <n v="46943"/>
        <n v="22013"/>
        <n v="40943"/>
        <n v="46486"/>
        <n v="46014"/>
        <n v="5922"/>
        <n v="9951"/>
        <n v="2531"/>
        <n v="28247"/>
        <n v="11461"/>
        <n v="16098"/>
        <n v="13581"/>
        <n v="19424"/>
        <n v="12015"/>
        <n v="12829"/>
        <n v="44336"/>
        <n v="34086"/>
        <n v="38735"/>
        <n v="33338"/>
        <n v="39336"/>
        <n v="20545"/>
        <n v="1745"/>
        <n v="16207"/>
        <n v="30193"/>
        <n v="36358"/>
        <n v="16158"/>
        <n v="33312"/>
        <n v="9134"/>
        <n v="9305"/>
        <n v="38397"/>
        <n v="10168"/>
        <n v="43294"/>
        <n v="22536"/>
        <n v="42526"/>
        <n v="10707"/>
        <n v="47566"/>
        <n v="7707"/>
        <n v="21778"/>
        <n v="18170"/>
        <n v="30455"/>
        <n v="37206"/>
        <n v="35626"/>
        <n v="4216"/>
        <n v="23946"/>
        <n v="49808"/>
        <n v="19089"/>
        <n v="5166"/>
        <n v="7089"/>
        <n v="29412"/>
        <n v="2562"/>
        <n v="32877"/>
        <n v="3656"/>
        <n v="13996"/>
        <n v="23994"/>
        <n v="14515"/>
        <n v="29884"/>
        <n v="36653"/>
        <n v="39535"/>
        <n v="30785"/>
        <n v="24005"/>
        <n v="46686"/>
        <n v="26918"/>
        <n v="27967"/>
        <n v="34666"/>
        <n v="18775"/>
        <n v="29174"/>
        <n v="39673"/>
        <n v="10307"/>
        <n v="12718"/>
        <n v="39790"/>
        <n v="22037"/>
        <n v="39229"/>
        <n v="17925"/>
        <n v="42988"/>
        <n v="8566"/>
        <n v="13935"/>
        <n v="43318"/>
        <n v="22365"/>
        <n v="33040"/>
        <n v="34786"/>
        <n v="14497"/>
        <n v="32698"/>
        <n v="30644"/>
        <n v="31639"/>
        <n v="38098"/>
        <n v="40793"/>
        <n v="48125"/>
        <n v="8182"/>
        <n v="22514"/>
        <n v="18546"/>
        <n v="10064"/>
        <n v="39197"/>
        <n v="42554"/>
        <n v="26005"/>
        <n v="5534"/>
        <n v="20887"/>
        <n v="7750"/>
        <n v="45912"/>
        <n v="20830"/>
        <n v="48562"/>
        <n v="17665"/>
        <n v="5137"/>
        <n v="20095"/>
        <n v="18994"/>
        <n v="43825"/>
        <n v="31897"/>
        <n v="11050"/>
        <n v="24899"/>
        <n v="29363"/>
        <n v="31376"/>
        <n v="42876"/>
        <n v="2391"/>
        <n v="19751"/>
        <n v="20344"/>
        <n v="22912"/>
        <n v="35477"/>
        <n v="23343"/>
        <n v="40401"/>
        <n v="15440"/>
        <n v="14377"/>
        <n v="17441"/>
        <n v="20354"/>
        <n v="34116"/>
        <n v="41887"/>
        <n v="47625"/>
        <n v="13796"/>
        <n v="45834"/>
        <n v="12601"/>
        <n v="48033"/>
        <n v="40584"/>
        <n v="6341"/>
        <n v="43266"/>
        <n v="45918"/>
        <n v="29838"/>
        <n v="21520"/>
        <n v="41944"/>
        <n v="1794"/>
        <n v="12793"/>
        <n v="29132"/>
        <n v="15763"/>
        <n v="4266"/>
        <n v="38663"/>
        <n v="19378"/>
        <n v="16162"/>
        <n v="10224"/>
        <n v="17380"/>
        <n v="48807"/>
        <n v="3310"/>
        <n v="37030"/>
        <n v="14022"/>
        <n v="41124"/>
        <n v="20070"/>
        <n v="7798"/>
        <n v="16412"/>
        <n v="5513"/>
        <n v="27527"/>
        <n v="46353"/>
        <n v="26896"/>
        <n v="25020"/>
        <n v="14044"/>
        <n v="11589"/>
        <n v="20860"/>
        <n v="15054"/>
        <n v="22362"/>
        <n v="2467"/>
        <n v="49583"/>
        <n v="49884"/>
        <n v="31072"/>
        <n v="28582"/>
        <n v="44438"/>
        <n v="5225"/>
        <n v="29213"/>
        <n v="25554"/>
        <n v="34098"/>
        <n v="4036"/>
        <n v="18507"/>
        <n v="7574"/>
        <n v="9991"/>
        <n v="11837"/>
        <n v="707"/>
        <n v="16140"/>
        <n v="20523"/>
        <n v="10470"/>
        <n v="8212"/>
        <n v="44052"/>
        <n v="12734"/>
        <n v="5251"/>
        <n v="28285"/>
        <n v="23430"/>
        <n v="3035"/>
        <n v="776"/>
        <n v="21632"/>
        <n v="44128"/>
        <n v="39881"/>
        <n v="5002"/>
        <n v="12637"/>
        <n v="1267"/>
        <n v="49285"/>
        <n v="7160"/>
        <n v="33003"/>
        <n v="46688"/>
        <n v="22007"/>
        <n v="19043"/>
        <n v="1974"/>
        <n v="17264"/>
        <n v="28037"/>
        <n v="2369"/>
        <n v="19894"/>
        <n v="33335"/>
        <n v="42658"/>
        <n v="15260"/>
        <n v="1814"/>
        <n v="12225"/>
        <n v="966"/>
        <n v="28535"/>
        <n v="46586"/>
        <n v="30116"/>
        <n v="34202"/>
        <n v="24985"/>
        <n v="18468"/>
        <n v="24526"/>
        <n v="26919"/>
        <n v="49196"/>
        <n v="505"/>
        <n v="15645"/>
        <n v="17013"/>
        <n v="20772"/>
        <n v="14520"/>
        <n v="29477"/>
        <n v="13457"/>
        <n v="49816"/>
        <n v="11727"/>
        <n v="7672"/>
        <n v="44669"/>
        <n v="16944"/>
        <n v="39541"/>
        <n v="1054"/>
        <n v="18037"/>
        <n v="41025"/>
        <n v="21537"/>
        <n v="39390"/>
        <n v="10992"/>
        <n v="7774"/>
        <n v="19434"/>
        <n v="5918"/>
        <n v="47786"/>
        <n v="34071"/>
        <n v="8629"/>
        <n v="4713"/>
        <n v="38389"/>
        <n v="4039"/>
        <n v="983"/>
        <n v="22146"/>
        <n v="3069"/>
        <n v="26206"/>
        <n v="24901"/>
        <n v="38183"/>
        <n v="22352"/>
        <n v="18549"/>
        <n v="36784"/>
        <n v="1712"/>
        <n v="32375"/>
        <n v="11371"/>
        <n v="44086"/>
        <n v="14493"/>
        <n v="10208"/>
        <n v="1967"/>
        <n v="28945"/>
        <n v="46732"/>
        <n v="12900"/>
        <n v="19051"/>
        <n v="24981"/>
        <n v="7348"/>
        <n v="2085"/>
        <n v="12344"/>
        <n v="48704"/>
        <n v="47037"/>
        <n v="32510"/>
        <n v="4072"/>
        <n v="40020"/>
        <n v="13419"/>
        <n v="6207"/>
        <n v="35072"/>
        <n v="9020"/>
        <n v="4268"/>
        <n v="902"/>
        <n v="41953"/>
        <n v="31760"/>
        <n v="48106"/>
        <n v="36722"/>
        <n v="13795"/>
        <n v="38856"/>
        <n v="41040"/>
        <n v="20061"/>
        <n v="43549"/>
        <n v="16275"/>
        <n v="24290"/>
        <n v="2601"/>
        <n v="3787"/>
        <n v="22537"/>
        <n v="8774"/>
        <n v="31423"/>
        <n v="15698"/>
        <n v="5917"/>
        <n v="29112"/>
        <n v="30385"/>
        <n v="29604"/>
        <n v="38693"/>
        <n v="25345"/>
        <n v="30846"/>
        <n v="49901"/>
        <n v="38812"/>
        <n v="44471"/>
        <n v="7992"/>
        <n v="19368"/>
        <n v="44768"/>
        <n v="44534"/>
        <n v="49738"/>
        <n v="1751"/>
        <n v="45809"/>
        <n v="783"/>
        <n v="22240"/>
        <n v="11893"/>
        <n v="27522"/>
        <n v="1944"/>
        <n v="11844"/>
        <n v="32436"/>
        <n v="10288"/>
        <n v="25447"/>
        <n v="2855"/>
        <n v="36539"/>
        <n v="37839"/>
        <n v="23875"/>
        <n v="42802"/>
        <n v="42084"/>
        <n v="32778"/>
        <n v="27342"/>
        <n v="15520"/>
        <n v="49242"/>
        <n v="25355"/>
        <n v="11588"/>
        <n v="30493"/>
        <n v="5224"/>
        <n v="8752"/>
        <n v="12635"/>
        <n v="9918"/>
        <n v="15881"/>
        <n v="42083"/>
        <n v="2148"/>
        <n v="30955"/>
        <n v="28180"/>
        <n v="49027"/>
        <n v="16333"/>
        <n v="11138"/>
        <n v="35830"/>
        <n v="1592"/>
        <n v="34377"/>
        <n v="18278"/>
        <n v="27597"/>
        <n v="23505"/>
        <n v="7320"/>
        <n v="12607"/>
        <n v="1093"/>
        <n v="39011"/>
        <n v="16040"/>
        <n v="42542"/>
        <n v="27622"/>
        <n v="24024"/>
        <n v="8732"/>
        <n v="22415"/>
        <n v="49115"/>
        <n v="43985"/>
        <n v="45430"/>
        <n v="33350"/>
        <n v="7685"/>
        <n v="40994"/>
        <n v="27712"/>
        <n v="37034"/>
        <n v="10682"/>
        <n v="2088"/>
        <n v="12629"/>
        <n v="41558"/>
        <n v="14935"/>
        <n v="28923"/>
        <n v="2612"/>
        <n v="33242"/>
        <n v="29997"/>
        <n v="8268"/>
        <n v="40816"/>
        <n v="37476"/>
        <n v="48851"/>
        <n v="9459"/>
        <n v="48993"/>
        <n v="45040"/>
        <n v="29353"/>
        <n v="26384"/>
        <n v="671"/>
        <n v="26214"/>
        <n v="6704"/>
        <n v="17738"/>
        <n v="5567"/>
        <n v="7768"/>
        <n v="14891"/>
        <n v="9422"/>
        <n v="32076"/>
        <n v="8867"/>
        <n v="46722"/>
        <n v="32928"/>
        <n v="31107"/>
        <n v="32668"/>
        <n v="31033"/>
        <n v="45234"/>
        <n v="35939"/>
        <n v="46993"/>
        <n v="31235"/>
        <n v="12506"/>
        <n v="35947"/>
        <n v="17899"/>
        <n v="16704"/>
        <n v="47071"/>
        <n v="1444"/>
        <n v="31752"/>
        <n v="22748"/>
        <n v="35267"/>
        <n v="8679"/>
        <n v="21101"/>
        <n v="46524"/>
        <n v="15444"/>
        <n v="29638"/>
        <n v="7874"/>
        <n v="18954"/>
        <n v="13890"/>
        <n v="5624"/>
        <n v="32638"/>
        <n v="16179"/>
        <n v="2904"/>
        <n v="16779"/>
        <n v="49274"/>
        <n v="13364"/>
        <n v="31492"/>
        <n v="9310"/>
        <n v="15901"/>
        <n v="46317"/>
        <n v="40607"/>
        <n v="48635"/>
        <n v="28509"/>
        <n v="13642"/>
        <n v="34054"/>
        <n v="12248"/>
        <n v="2542"/>
        <n v="6129"/>
        <n v="2522"/>
        <n v="31250"/>
        <n v="45544"/>
        <n v="14172"/>
        <n v="2625"/>
        <n v="32258"/>
        <n v="44554"/>
        <n v="9842"/>
        <n v="25283"/>
        <n v="33092"/>
        <n v="32665"/>
        <n v="24701"/>
        <n v="27881"/>
        <n v="17113"/>
        <n v="27148"/>
        <n v="41387"/>
        <n v="44644"/>
        <n v="20676"/>
        <n v="1846"/>
        <n v="19077"/>
        <n v="21577"/>
        <n v="3314"/>
        <n v="34247"/>
        <n v="38893"/>
        <n v="46868"/>
        <n v="16900"/>
        <n v="9243"/>
        <n v="37967"/>
        <n v="35753"/>
        <n v="40560"/>
        <n v="26186"/>
        <n v="20284"/>
        <n v="39034"/>
        <n v="24541"/>
        <n v="24630"/>
        <n v="48244"/>
        <n v="48207"/>
        <n v="46177"/>
        <n v="1706"/>
        <n v="5773"/>
        <n v="12033"/>
        <n v="37978"/>
        <n v="9380"/>
        <n v="1692"/>
        <n v="19290"/>
        <n v="18439"/>
        <n v="18210"/>
        <n v="11316"/>
        <n v="15034"/>
        <n v="21847"/>
        <n v="21346"/>
        <n v="44453"/>
        <n v="20213"/>
        <n v="32178"/>
        <n v="34435"/>
        <n v="43109"/>
        <n v="12310"/>
        <n v="36766"/>
        <n v="21533"/>
        <n v="7020"/>
        <n v="4277"/>
        <n v="43894"/>
        <n v="561"/>
        <n v="27039"/>
        <n v="8745"/>
        <n v="44617"/>
        <n v="23050"/>
        <n v="27613"/>
        <n v="49947"/>
        <n v="39309"/>
        <n v="8458"/>
        <n v="3906"/>
        <n v="850"/>
        <n v="40343"/>
        <n v="5164"/>
        <n v="40116"/>
        <n v="9625"/>
        <n v="31908"/>
        <n v="41464"/>
        <n v="37601"/>
        <n v="34510"/>
        <n v="20410"/>
        <n v="34872"/>
        <n v="19607"/>
        <n v="3085"/>
        <n v="21257"/>
        <n v="49031"/>
        <n v="29845"/>
        <n v="8576"/>
        <n v="16921"/>
        <n v="3412"/>
        <n v="9738"/>
        <n v="9247"/>
        <n v="14801"/>
        <n v="15407"/>
        <n v="28334"/>
        <n v="34481"/>
        <n v="26471"/>
        <n v="20099"/>
        <n v="15067"/>
        <n v="42560"/>
        <n v="12475"/>
        <n v="24467"/>
        <n v="27140"/>
        <n v="42454"/>
        <n v="25433"/>
        <n v="49237"/>
        <n v="6621"/>
        <n v="36858"/>
        <n v="39547"/>
        <n v="32940"/>
        <n v="10872"/>
        <n v="4086"/>
        <n v="7384"/>
        <n v="31460"/>
        <n v="46729"/>
        <n v="30434"/>
        <n v="1889"/>
        <n v="23991"/>
        <n v="37157"/>
        <n v="10060"/>
        <n v="21216"/>
        <n v="31900"/>
        <n v="44936"/>
        <n v="752"/>
        <n v="45511"/>
        <n v="20847"/>
        <n v="14919"/>
        <n v="28953"/>
        <n v="25717"/>
        <n v="8020"/>
        <n v="28330"/>
        <n v="18347"/>
        <n v="45184"/>
        <n v="18282"/>
        <n v="40697"/>
        <n v="7588"/>
        <n v="25116"/>
        <n v="29368"/>
        <n v="29929"/>
      </sharedItems>
    </cacheField>
    <cacheField name="Patient_Satisfaction" numFmtId="1">
      <sharedItems containsSemiMixedTypes="0" containsString="0" containsNumber="1" containsInteger="1" minValue="40" maxValue="100" count="61">
        <n v="51"/>
        <n v="70"/>
        <n v="65"/>
        <n v="96"/>
        <n v="89"/>
        <n v="56"/>
        <n v="90"/>
        <n v="93"/>
        <n v="61"/>
        <n v="76"/>
        <n v="98"/>
        <n v="48"/>
        <n v="44"/>
        <n v="74"/>
        <n v="43"/>
        <n v="99"/>
        <n v="68"/>
        <n v="69"/>
        <n v="46"/>
        <n v="79"/>
        <n v="86"/>
        <n v="53"/>
        <n v="67"/>
        <n v="72"/>
        <n v="73"/>
        <n v="88"/>
        <n v="50"/>
        <n v="45"/>
        <n v="78"/>
        <n v="57"/>
        <n v="83"/>
        <n v="92"/>
        <n v="97"/>
        <n v="87"/>
        <n v="42"/>
        <n v="85"/>
        <n v="66"/>
        <n v="95"/>
        <n v="52"/>
        <n v="49"/>
        <n v="40"/>
        <n v="75"/>
        <n v="71"/>
        <n v="84"/>
        <n v="47"/>
        <n v="94"/>
        <n v="82"/>
        <n v="60"/>
        <n v="64"/>
        <n v="62"/>
        <n v="81"/>
        <n v="80"/>
        <n v="41"/>
        <n v="77"/>
        <n v="100"/>
        <n v="55"/>
        <n v="59"/>
        <n v="58"/>
        <n v="91"/>
        <n v="54"/>
        <n v="63"/>
      </sharedItems>
    </cacheField>
    <cacheField name="Patients_Refused" numFmtId="1">
      <sharedItems containsSemiMixedTypes="0" containsString="0" containsNumber="1" containsInteger="1" minValue="0" maxValue="5"/>
    </cacheField>
    <cacheField name="Month_Year" numFmtId="14">
      <sharedItems count="24">
        <s v="2024-02"/>
        <s v="2024-07"/>
        <s v="2024-01"/>
        <s v="2023-10"/>
        <s v="2023-08"/>
        <s v="2024-08"/>
        <s v="2023-05"/>
        <s v="2023-06"/>
        <s v="2023-11"/>
        <s v="2024-06"/>
        <s v="2024-09"/>
        <s v="2024-03"/>
        <s v="2024-04"/>
        <s v="2024-11"/>
        <s v="2023-12"/>
        <s v="2023-03"/>
        <s v="2024-05"/>
        <s v="2023-07"/>
        <s v="2023-04"/>
        <s v="2024-10"/>
        <s v="2023-01"/>
        <s v="2023-09"/>
        <s v="2023-02"/>
        <s v="2024-12"/>
      </sharedItems>
    </cacheField>
    <cacheField name="Months (Visit_Date)" numFmtId="0" databaseField="0">
      <fieldGroup base="4">
        <rangePr groupBy="months" startDate="2023-01-01T00:00:00" endDate="2024-12-02T00:00:00"/>
        <groupItems count="14">
          <s v="&lt;01-01-2023"/>
          <s v="Jan"/>
          <s v="Feb"/>
          <s v="Mar"/>
          <s v="Apr"/>
          <s v="May"/>
          <s v="Jun"/>
          <s v="Jul"/>
          <s v="Aug"/>
          <s v="Sep"/>
          <s v="Oct"/>
          <s v="Nov"/>
          <s v="Dec"/>
          <s v="&gt;02-12-2024"/>
        </groupItems>
      </fieldGroup>
    </cacheField>
    <cacheField name="Quarters (Visit_Date)" numFmtId="0" databaseField="0">
      <fieldGroup base="4">
        <rangePr groupBy="quarters" startDate="2023-01-01T00:00:00" endDate="2024-12-02T00:00:00"/>
        <groupItems count="6">
          <s v="&lt;01-01-2023"/>
          <s v="Qtr1"/>
          <s v="Qtr2"/>
          <s v="Qtr3"/>
          <s v="Qtr4"/>
          <s v="&gt;02-12-2024"/>
        </groupItems>
      </fieldGroup>
    </cacheField>
    <cacheField name="Years (Visit_Date)" numFmtId="0" databaseField="0">
      <fieldGroup base="4">
        <rangePr groupBy="years" startDate="2023-01-01T00:00:00" endDate="2024-12-02T00:00:00"/>
        <groupItems count="4">
          <s v="&lt;01-01-2023"/>
          <s v="2023"/>
          <s v="2024"/>
          <s v="&gt;02-12-2024"/>
        </groupItems>
      </fieldGroup>
    </cacheField>
  </cacheFields>
  <extLst>
    <ext xmlns:x14="http://schemas.microsoft.com/office/spreadsheetml/2009/9/main" uri="{725AE2AE-9491-48be-B2B4-4EB974FC3084}">
      <x14:pivotCacheDefinition pivotCacheId="19607222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11"/>
    <x v="0"/>
    <x v="0"/>
    <x v="0"/>
    <s v="Hypertension"/>
    <x v="0"/>
    <x v="0"/>
    <n v="5"/>
    <x v="0"/>
  </r>
  <r>
    <x v="1"/>
    <n v="79"/>
    <x v="1"/>
    <x v="1"/>
    <x v="1"/>
    <s v="Infection"/>
    <x v="1"/>
    <x v="1"/>
    <n v="1"/>
    <x v="1"/>
  </r>
  <r>
    <x v="2"/>
    <n v="35"/>
    <x v="1"/>
    <x v="2"/>
    <x v="2"/>
    <s v="Allergy"/>
    <x v="2"/>
    <x v="2"/>
    <n v="1"/>
    <x v="2"/>
  </r>
  <r>
    <x v="3"/>
    <n v="14"/>
    <x v="1"/>
    <x v="3"/>
    <x v="3"/>
    <s v="Migraine"/>
    <x v="3"/>
    <x v="3"/>
    <n v="0"/>
    <x v="3"/>
  </r>
  <r>
    <x v="4"/>
    <n v="67"/>
    <x v="1"/>
    <x v="0"/>
    <x v="4"/>
    <s v="Diabetes"/>
    <x v="4"/>
    <x v="4"/>
    <n v="2"/>
    <x v="4"/>
  </r>
  <r>
    <x v="5"/>
    <n v="14"/>
    <x v="1"/>
    <x v="1"/>
    <x v="3"/>
    <s v="Hypertension"/>
    <x v="5"/>
    <x v="5"/>
    <n v="3"/>
    <x v="3"/>
  </r>
  <r>
    <x v="6"/>
    <n v="24"/>
    <x v="1"/>
    <x v="2"/>
    <x v="5"/>
    <s v="Hypertension"/>
    <x v="6"/>
    <x v="6"/>
    <n v="1"/>
    <x v="5"/>
  </r>
  <r>
    <x v="7"/>
    <n v="33"/>
    <x v="1"/>
    <x v="0"/>
    <x v="6"/>
    <s v="Migraine"/>
    <x v="7"/>
    <x v="7"/>
    <n v="5"/>
    <x v="6"/>
  </r>
  <r>
    <x v="8"/>
    <n v="25"/>
    <x v="1"/>
    <x v="1"/>
    <x v="7"/>
    <s v="Diabetes"/>
    <x v="8"/>
    <x v="8"/>
    <n v="5"/>
    <x v="5"/>
  </r>
  <r>
    <x v="9"/>
    <n v="84"/>
    <x v="1"/>
    <x v="0"/>
    <x v="8"/>
    <s v="Allergy"/>
    <x v="9"/>
    <x v="9"/>
    <n v="1"/>
    <x v="7"/>
  </r>
  <r>
    <x v="10"/>
    <n v="73"/>
    <x v="0"/>
    <x v="0"/>
    <x v="9"/>
    <s v="Hypertension"/>
    <x v="10"/>
    <x v="10"/>
    <n v="3"/>
    <x v="8"/>
  </r>
  <r>
    <x v="11"/>
    <n v="14"/>
    <x v="0"/>
    <x v="3"/>
    <x v="10"/>
    <s v="Infection"/>
    <x v="11"/>
    <x v="11"/>
    <n v="0"/>
    <x v="9"/>
  </r>
  <r>
    <x v="12"/>
    <n v="62"/>
    <x v="0"/>
    <x v="3"/>
    <x v="9"/>
    <s v="Migraine"/>
    <x v="12"/>
    <x v="12"/>
    <n v="1"/>
    <x v="8"/>
  </r>
  <r>
    <x v="13"/>
    <n v="83"/>
    <x v="0"/>
    <x v="0"/>
    <x v="11"/>
    <s v="Migraine"/>
    <x v="13"/>
    <x v="13"/>
    <n v="0"/>
    <x v="10"/>
  </r>
  <r>
    <x v="14"/>
    <n v="19"/>
    <x v="1"/>
    <x v="0"/>
    <x v="12"/>
    <s v="Allergy"/>
    <x v="14"/>
    <x v="14"/>
    <n v="0"/>
    <x v="7"/>
  </r>
  <r>
    <x v="15"/>
    <n v="65"/>
    <x v="1"/>
    <x v="3"/>
    <x v="13"/>
    <s v="Migraine"/>
    <x v="15"/>
    <x v="15"/>
    <n v="0"/>
    <x v="11"/>
  </r>
  <r>
    <x v="16"/>
    <n v="87"/>
    <x v="1"/>
    <x v="2"/>
    <x v="14"/>
    <s v="Hypertension"/>
    <x v="16"/>
    <x v="16"/>
    <n v="5"/>
    <x v="12"/>
  </r>
  <r>
    <x v="17"/>
    <n v="49"/>
    <x v="0"/>
    <x v="4"/>
    <x v="15"/>
    <s v="Fracture"/>
    <x v="17"/>
    <x v="17"/>
    <n v="2"/>
    <x v="13"/>
  </r>
  <r>
    <x v="18"/>
    <n v="90"/>
    <x v="1"/>
    <x v="1"/>
    <x v="16"/>
    <s v="Diabetes"/>
    <x v="18"/>
    <x v="17"/>
    <n v="1"/>
    <x v="8"/>
  </r>
  <r>
    <x v="19"/>
    <n v="79"/>
    <x v="0"/>
    <x v="1"/>
    <x v="17"/>
    <s v="Fracture"/>
    <x v="19"/>
    <x v="14"/>
    <n v="3"/>
    <x v="14"/>
  </r>
  <r>
    <x v="20"/>
    <n v="47"/>
    <x v="1"/>
    <x v="2"/>
    <x v="18"/>
    <s v="Diabetes"/>
    <x v="20"/>
    <x v="18"/>
    <n v="4"/>
    <x v="6"/>
  </r>
  <r>
    <x v="21"/>
    <n v="79"/>
    <x v="0"/>
    <x v="4"/>
    <x v="19"/>
    <s v="Fracture"/>
    <x v="21"/>
    <x v="15"/>
    <n v="2"/>
    <x v="1"/>
  </r>
  <r>
    <x v="22"/>
    <n v="19"/>
    <x v="1"/>
    <x v="0"/>
    <x v="20"/>
    <s v="Infection"/>
    <x v="22"/>
    <x v="17"/>
    <n v="4"/>
    <x v="5"/>
  </r>
  <r>
    <x v="23"/>
    <n v="42"/>
    <x v="0"/>
    <x v="5"/>
    <x v="21"/>
    <s v="Infection"/>
    <x v="23"/>
    <x v="19"/>
    <n v="5"/>
    <x v="15"/>
  </r>
  <r>
    <x v="24"/>
    <n v="18"/>
    <x v="0"/>
    <x v="1"/>
    <x v="22"/>
    <s v="Hypertension"/>
    <x v="24"/>
    <x v="0"/>
    <n v="2"/>
    <x v="8"/>
  </r>
  <r>
    <x v="25"/>
    <n v="38"/>
    <x v="1"/>
    <x v="5"/>
    <x v="23"/>
    <s v="Infection"/>
    <x v="25"/>
    <x v="15"/>
    <n v="2"/>
    <x v="16"/>
  </r>
  <r>
    <x v="26"/>
    <n v="33"/>
    <x v="1"/>
    <x v="0"/>
    <x v="24"/>
    <s v="Allergy"/>
    <x v="26"/>
    <x v="20"/>
    <n v="4"/>
    <x v="1"/>
  </r>
  <r>
    <x v="27"/>
    <n v="51"/>
    <x v="1"/>
    <x v="0"/>
    <x v="23"/>
    <s v="Hypertension"/>
    <x v="27"/>
    <x v="21"/>
    <n v="0"/>
    <x v="16"/>
  </r>
  <r>
    <x v="28"/>
    <n v="16"/>
    <x v="0"/>
    <x v="5"/>
    <x v="25"/>
    <s v="Migraine"/>
    <x v="28"/>
    <x v="6"/>
    <n v="0"/>
    <x v="16"/>
  </r>
  <r>
    <x v="29"/>
    <n v="67"/>
    <x v="1"/>
    <x v="3"/>
    <x v="22"/>
    <s v="Allergy"/>
    <x v="29"/>
    <x v="22"/>
    <n v="4"/>
    <x v="8"/>
  </r>
  <r>
    <x v="30"/>
    <n v="36"/>
    <x v="0"/>
    <x v="2"/>
    <x v="26"/>
    <s v="Diabetes"/>
    <x v="30"/>
    <x v="23"/>
    <n v="4"/>
    <x v="1"/>
  </r>
  <r>
    <x v="31"/>
    <n v="68"/>
    <x v="1"/>
    <x v="1"/>
    <x v="27"/>
    <s v="Allergy"/>
    <x v="31"/>
    <x v="24"/>
    <n v="4"/>
    <x v="6"/>
  </r>
  <r>
    <x v="32"/>
    <n v="77"/>
    <x v="1"/>
    <x v="3"/>
    <x v="28"/>
    <s v="Diabetes"/>
    <x v="32"/>
    <x v="25"/>
    <n v="1"/>
    <x v="9"/>
  </r>
  <r>
    <x v="33"/>
    <n v="68"/>
    <x v="0"/>
    <x v="1"/>
    <x v="29"/>
    <s v="Hypertension"/>
    <x v="33"/>
    <x v="26"/>
    <n v="5"/>
    <x v="14"/>
  </r>
  <r>
    <x v="34"/>
    <n v="51"/>
    <x v="1"/>
    <x v="4"/>
    <x v="30"/>
    <s v="Infection"/>
    <x v="34"/>
    <x v="11"/>
    <n v="1"/>
    <x v="9"/>
  </r>
  <r>
    <x v="35"/>
    <n v="11"/>
    <x v="0"/>
    <x v="1"/>
    <x v="31"/>
    <s v="Diabetes"/>
    <x v="35"/>
    <x v="9"/>
    <n v="4"/>
    <x v="9"/>
  </r>
  <r>
    <x v="36"/>
    <n v="37"/>
    <x v="0"/>
    <x v="3"/>
    <x v="32"/>
    <s v="Hypertension"/>
    <x v="36"/>
    <x v="10"/>
    <n v="1"/>
    <x v="17"/>
  </r>
  <r>
    <x v="37"/>
    <n v="35"/>
    <x v="1"/>
    <x v="5"/>
    <x v="33"/>
    <s v="Migraine"/>
    <x v="37"/>
    <x v="3"/>
    <n v="1"/>
    <x v="18"/>
  </r>
  <r>
    <x v="38"/>
    <n v="2"/>
    <x v="0"/>
    <x v="5"/>
    <x v="34"/>
    <s v="Allergy"/>
    <x v="38"/>
    <x v="27"/>
    <n v="4"/>
    <x v="17"/>
  </r>
  <r>
    <x v="39"/>
    <n v="86"/>
    <x v="1"/>
    <x v="5"/>
    <x v="2"/>
    <s v="Migraine"/>
    <x v="39"/>
    <x v="28"/>
    <n v="3"/>
    <x v="2"/>
  </r>
  <r>
    <x v="40"/>
    <n v="66"/>
    <x v="1"/>
    <x v="2"/>
    <x v="35"/>
    <s v="Hypertension"/>
    <x v="40"/>
    <x v="14"/>
    <n v="1"/>
    <x v="8"/>
  </r>
  <r>
    <x v="41"/>
    <n v="29"/>
    <x v="1"/>
    <x v="1"/>
    <x v="36"/>
    <s v="Diabetes"/>
    <x v="41"/>
    <x v="29"/>
    <n v="2"/>
    <x v="17"/>
  </r>
  <r>
    <x v="42"/>
    <n v="35"/>
    <x v="1"/>
    <x v="2"/>
    <x v="37"/>
    <s v="Fracture"/>
    <x v="42"/>
    <x v="30"/>
    <n v="3"/>
    <x v="0"/>
  </r>
  <r>
    <x v="43"/>
    <n v="90"/>
    <x v="0"/>
    <x v="3"/>
    <x v="38"/>
    <s v="Diabetes"/>
    <x v="43"/>
    <x v="6"/>
    <n v="5"/>
    <x v="15"/>
  </r>
  <r>
    <x v="44"/>
    <n v="19"/>
    <x v="1"/>
    <x v="2"/>
    <x v="1"/>
    <s v="Infection"/>
    <x v="44"/>
    <x v="31"/>
    <n v="1"/>
    <x v="1"/>
  </r>
  <r>
    <x v="45"/>
    <n v="65"/>
    <x v="1"/>
    <x v="2"/>
    <x v="39"/>
    <s v="Diabetes"/>
    <x v="45"/>
    <x v="32"/>
    <n v="3"/>
    <x v="3"/>
  </r>
  <r>
    <x v="46"/>
    <n v="16"/>
    <x v="0"/>
    <x v="3"/>
    <x v="40"/>
    <s v="Diabetes"/>
    <x v="46"/>
    <x v="33"/>
    <n v="4"/>
    <x v="5"/>
  </r>
  <r>
    <x v="47"/>
    <n v="73"/>
    <x v="0"/>
    <x v="0"/>
    <x v="41"/>
    <s v="Diabetes"/>
    <x v="47"/>
    <x v="34"/>
    <n v="3"/>
    <x v="3"/>
  </r>
  <r>
    <x v="48"/>
    <n v="55"/>
    <x v="0"/>
    <x v="2"/>
    <x v="42"/>
    <s v="Infection"/>
    <x v="48"/>
    <x v="6"/>
    <n v="2"/>
    <x v="19"/>
  </r>
  <r>
    <x v="49"/>
    <n v="27"/>
    <x v="1"/>
    <x v="2"/>
    <x v="43"/>
    <s v="Hypertension"/>
    <x v="49"/>
    <x v="3"/>
    <n v="2"/>
    <x v="9"/>
  </r>
  <r>
    <x v="50"/>
    <n v="4"/>
    <x v="0"/>
    <x v="3"/>
    <x v="44"/>
    <s v="Allergy"/>
    <x v="50"/>
    <x v="35"/>
    <n v="2"/>
    <x v="20"/>
  </r>
  <r>
    <x v="51"/>
    <n v="55"/>
    <x v="1"/>
    <x v="1"/>
    <x v="2"/>
    <s v="Hypertension"/>
    <x v="51"/>
    <x v="36"/>
    <n v="4"/>
    <x v="2"/>
  </r>
  <r>
    <x v="52"/>
    <n v="35"/>
    <x v="0"/>
    <x v="1"/>
    <x v="45"/>
    <s v="Migraine"/>
    <x v="52"/>
    <x v="37"/>
    <n v="0"/>
    <x v="14"/>
  </r>
  <r>
    <x v="53"/>
    <n v="42"/>
    <x v="1"/>
    <x v="3"/>
    <x v="46"/>
    <s v="Hypertension"/>
    <x v="53"/>
    <x v="22"/>
    <n v="0"/>
    <x v="13"/>
  </r>
  <r>
    <x v="54"/>
    <n v="22"/>
    <x v="1"/>
    <x v="4"/>
    <x v="47"/>
    <s v="Diabetes"/>
    <x v="54"/>
    <x v="38"/>
    <n v="5"/>
    <x v="15"/>
  </r>
  <r>
    <x v="55"/>
    <n v="51"/>
    <x v="0"/>
    <x v="5"/>
    <x v="48"/>
    <s v="Migraine"/>
    <x v="55"/>
    <x v="39"/>
    <n v="1"/>
    <x v="14"/>
  </r>
  <r>
    <x v="56"/>
    <n v="72"/>
    <x v="0"/>
    <x v="4"/>
    <x v="49"/>
    <s v="Hypertension"/>
    <x v="56"/>
    <x v="25"/>
    <n v="1"/>
    <x v="4"/>
  </r>
  <r>
    <x v="57"/>
    <n v="37"/>
    <x v="0"/>
    <x v="3"/>
    <x v="50"/>
    <s v="Allergy"/>
    <x v="57"/>
    <x v="31"/>
    <n v="4"/>
    <x v="19"/>
  </r>
  <r>
    <x v="58"/>
    <n v="53"/>
    <x v="1"/>
    <x v="2"/>
    <x v="51"/>
    <s v="Migraine"/>
    <x v="58"/>
    <x v="40"/>
    <n v="5"/>
    <x v="9"/>
  </r>
  <r>
    <x v="59"/>
    <n v="65"/>
    <x v="1"/>
    <x v="0"/>
    <x v="6"/>
    <s v="Allergy"/>
    <x v="59"/>
    <x v="24"/>
    <n v="0"/>
    <x v="6"/>
  </r>
  <r>
    <x v="60"/>
    <n v="50"/>
    <x v="0"/>
    <x v="5"/>
    <x v="52"/>
    <s v="Allergy"/>
    <x v="60"/>
    <x v="33"/>
    <n v="1"/>
    <x v="7"/>
  </r>
  <r>
    <x v="61"/>
    <n v="74"/>
    <x v="0"/>
    <x v="4"/>
    <x v="53"/>
    <s v="Allergy"/>
    <x v="61"/>
    <x v="3"/>
    <n v="3"/>
    <x v="14"/>
  </r>
  <r>
    <x v="62"/>
    <n v="32"/>
    <x v="0"/>
    <x v="5"/>
    <x v="54"/>
    <s v="Allergy"/>
    <x v="62"/>
    <x v="41"/>
    <n v="2"/>
    <x v="15"/>
  </r>
  <r>
    <x v="63"/>
    <n v="32"/>
    <x v="1"/>
    <x v="1"/>
    <x v="55"/>
    <s v="Fracture"/>
    <x v="63"/>
    <x v="40"/>
    <n v="0"/>
    <x v="21"/>
  </r>
  <r>
    <x v="64"/>
    <n v="49"/>
    <x v="0"/>
    <x v="5"/>
    <x v="56"/>
    <s v="Infection"/>
    <x v="64"/>
    <x v="2"/>
    <n v="5"/>
    <x v="8"/>
  </r>
  <r>
    <x v="65"/>
    <n v="32"/>
    <x v="1"/>
    <x v="5"/>
    <x v="57"/>
    <s v="Hypertension"/>
    <x v="65"/>
    <x v="10"/>
    <n v="1"/>
    <x v="6"/>
  </r>
  <r>
    <x v="66"/>
    <n v="39"/>
    <x v="0"/>
    <x v="3"/>
    <x v="58"/>
    <s v="Hypertension"/>
    <x v="66"/>
    <x v="42"/>
    <n v="4"/>
    <x v="15"/>
  </r>
  <r>
    <x v="67"/>
    <n v="68"/>
    <x v="1"/>
    <x v="3"/>
    <x v="59"/>
    <s v="Diabetes"/>
    <x v="67"/>
    <x v="29"/>
    <n v="1"/>
    <x v="0"/>
  </r>
  <r>
    <x v="68"/>
    <n v="90"/>
    <x v="1"/>
    <x v="2"/>
    <x v="60"/>
    <s v="Migraine"/>
    <x v="68"/>
    <x v="10"/>
    <n v="2"/>
    <x v="0"/>
  </r>
  <r>
    <x v="69"/>
    <n v="8"/>
    <x v="1"/>
    <x v="4"/>
    <x v="61"/>
    <s v="Fracture"/>
    <x v="69"/>
    <x v="2"/>
    <n v="2"/>
    <x v="14"/>
  </r>
  <r>
    <x v="70"/>
    <n v="84"/>
    <x v="0"/>
    <x v="2"/>
    <x v="62"/>
    <s v="Infection"/>
    <x v="70"/>
    <x v="0"/>
    <n v="1"/>
    <x v="13"/>
  </r>
  <r>
    <x v="71"/>
    <n v="64"/>
    <x v="0"/>
    <x v="3"/>
    <x v="63"/>
    <s v="Migraine"/>
    <x v="71"/>
    <x v="43"/>
    <n v="0"/>
    <x v="1"/>
  </r>
  <r>
    <x v="72"/>
    <n v="75"/>
    <x v="1"/>
    <x v="5"/>
    <x v="64"/>
    <s v="Allergy"/>
    <x v="72"/>
    <x v="24"/>
    <n v="3"/>
    <x v="13"/>
  </r>
  <r>
    <x v="73"/>
    <n v="2"/>
    <x v="0"/>
    <x v="5"/>
    <x v="65"/>
    <s v="Hypertension"/>
    <x v="73"/>
    <x v="26"/>
    <n v="2"/>
    <x v="19"/>
  </r>
  <r>
    <x v="74"/>
    <n v="12"/>
    <x v="0"/>
    <x v="0"/>
    <x v="66"/>
    <s v="Allergy"/>
    <x v="74"/>
    <x v="35"/>
    <n v="2"/>
    <x v="9"/>
  </r>
  <r>
    <x v="75"/>
    <n v="31"/>
    <x v="1"/>
    <x v="0"/>
    <x v="67"/>
    <s v="Allergy"/>
    <x v="75"/>
    <x v="25"/>
    <n v="0"/>
    <x v="5"/>
  </r>
  <r>
    <x v="76"/>
    <n v="88"/>
    <x v="1"/>
    <x v="1"/>
    <x v="68"/>
    <s v="Migraine"/>
    <x v="76"/>
    <x v="17"/>
    <n v="0"/>
    <x v="18"/>
  </r>
  <r>
    <x v="77"/>
    <n v="53"/>
    <x v="0"/>
    <x v="2"/>
    <x v="69"/>
    <s v="Allergy"/>
    <x v="77"/>
    <x v="39"/>
    <n v="3"/>
    <x v="9"/>
  </r>
  <r>
    <x v="78"/>
    <n v="81"/>
    <x v="0"/>
    <x v="2"/>
    <x v="70"/>
    <s v="Diabetes"/>
    <x v="78"/>
    <x v="39"/>
    <n v="5"/>
    <x v="20"/>
  </r>
  <r>
    <x v="79"/>
    <n v="79"/>
    <x v="1"/>
    <x v="0"/>
    <x v="71"/>
    <s v="Migraine"/>
    <x v="79"/>
    <x v="25"/>
    <n v="4"/>
    <x v="22"/>
  </r>
  <r>
    <x v="80"/>
    <n v="36"/>
    <x v="0"/>
    <x v="4"/>
    <x v="72"/>
    <s v="Fracture"/>
    <x v="80"/>
    <x v="32"/>
    <n v="5"/>
    <x v="16"/>
  </r>
  <r>
    <x v="81"/>
    <n v="47"/>
    <x v="0"/>
    <x v="4"/>
    <x v="73"/>
    <s v="Infection"/>
    <x v="81"/>
    <x v="40"/>
    <n v="1"/>
    <x v="5"/>
  </r>
  <r>
    <x v="82"/>
    <n v="64"/>
    <x v="0"/>
    <x v="5"/>
    <x v="5"/>
    <s v="Fracture"/>
    <x v="82"/>
    <x v="2"/>
    <n v="3"/>
    <x v="5"/>
  </r>
  <r>
    <x v="83"/>
    <n v="41"/>
    <x v="1"/>
    <x v="5"/>
    <x v="74"/>
    <s v="Hypertension"/>
    <x v="83"/>
    <x v="7"/>
    <n v="5"/>
    <x v="19"/>
  </r>
  <r>
    <x v="84"/>
    <n v="29"/>
    <x v="0"/>
    <x v="0"/>
    <x v="75"/>
    <s v="Migraine"/>
    <x v="84"/>
    <x v="34"/>
    <n v="3"/>
    <x v="18"/>
  </r>
  <r>
    <x v="85"/>
    <n v="47"/>
    <x v="0"/>
    <x v="1"/>
    <x v="76"/>
    <s v="Migraine"/>
    <x v="85"/>
    <x v="44"/>
    <n v="0"/>
    <x v="19"/>
  </r>
  <r>
    <x v="86"/>
    <n v="7"/>
    <x v="0"/>
    <x v="1"/>
    <x v="77"/>
    <s v="Hypertension"/>
    <x v="86"/>
    <x v="16"/>
    <n v="4"/>
    <x v="17"/>
  </r>
  <r>
    <x v="87"/>
    <n v="55"/>
    <x v="1"/>
    <x v="1"/>
    <x v="78"/>
    <s v="Migraine"/>
    <x v="87"/>
    <x v="26"/>
    <n v="5"/>
    <x v="21"/>
  </r>
  <r>
    <x v="88"/>
    <n v="77"/>
    <x v="0"/>
    <x v="5"/>
    <x v="79"/>
    <s v="Allergy"/>
    <x v="88"/>
    <x v="12"/>
    <n v="5"/>
    <x v="8"/>
  </r>
  <r>
    <x v="89"/>
    <n v="74"/>
    <x v="1"/>
    <x v="1"/>
    <x v="80"/>
    <s v="Allergy"/>
    <x v="89"/>
    <x v="0"/>
    <n v="3"/>
    <x v="10"/>
  </r>
  <r>
    <x v="90"/>
    <n v="86"/>
    <x v="0"/>
    <x v="2"/>
    <x v="81"/>
    <s v="Migraine"/>
    <x v="90"/>
    <x v="9"/>
    <n v="0"/>
    <x v="1"/>
  </r>
  <r>
    <x v="91"/>
    <n v="50"/>
    <x v="0"/>
    <x v="0"/>
    <x v="82"/>
    <s v="Infection"/>
    <x v="91"/>
    <x v="45"/>
    <n v="1"/>
    <x v="22"/>
  </r>
  <r>
    <x v="92"/>
    <n v="44"/>
    <x v="0"/>
    <x v="0"/>
    <x v="83"/>
    <s v="Infection"/>
    <x v="92"/>
    <x v="37"/>
    <n v="5"/>
    <x v="18"/>
  </r>
  <r>
    <x v="93"/>
    <n v="59"/>
    <x v="1"/>
    <x v="1"/>
    <x v="84"/>
    <s v="Migraine"/>
    <x v="93"/>
    <x v="35"/>
    <n v="2"/>
    <x v="19"/>
  </r>
  <r>
    <x v="94"/>
    <n v="65"/>
    <x v="1"/>
    <x v="4"/>
    <x v="85"/>
    <s v="Allergy"/>
    <x v="94"/>
    <x v="46"/>
    <n v="3"/>
    <x v="21"/>
  </r>
  <r>
    <x v="95"/>
    <n v="39"/>
    <x v="1"/>
    <x v="3"/>
    <x v="86"/>
    <s v="Infection"/>
    <x v="95"/>
    <x v="47"/>
    <n v="4"/>
    <x v="5"/>
  </r>
  <r>
    <x v="96"/>
    <n v="52"/>
    <x v="0"/>
    <x v="5"/>
    <x v="87"/>
    <s v="Allergy"/>
    <x v="96"/>
    <x v="40"/>
    <n v="3"/>
    <x v="12"/>
  </r>
  <r>
    <x v="97"/>
    <n v="21"/>
    <x v="1"/>
    <x v="5"/>
    <x v="88"/>
    <s v="Infection"/>
    <x v="97"/>
    <x v="36"/>
    <n v="3"/>
    <x v="10"/>
  </r>
  <r>
    <x v="98"/>
    <n v="78"/>
    <x v="1"/>
    <x v="5"/>
    <x v="89"/>
    <s v="Fracture"/>
    <x v="98"/>
    <x v="21"/>
    <n v="2"/>
    <x v="1"/>
  </r>
  <r>
    <x v="99"/>
    <n v="86"/>
    <x v="0"/>
    <x v="0"/>
    <x v="90"/>
    <s v="Diabetes"/>
    <x v="99"/>
    <x v="31"/>
    <n v="0"/>
    <x v="9"/>
  </r>
  <r>
    <x v="100"/>
    <n v="38"/>
    <x v="1"/>
    <x v="2"/>
    <x v="91"/>
    <s v="Hypertension"/>
    <x v="100"/>
    <x v="48"/>
    <n v="0"/>
    <x v="9"/>
  </r>
  <r>
    <x v="101"/>
    <n v="67"/>
    <x v="1"/>
    <x v="4"/>
    <x v="48"/>
    <s v="Migraine"/>
    <x v="101"/>
    <x v="25"/>
    <n v="3"/>
    <x v="14"/>
  </r>
  <r>
    <x v="102"/>
    <n v="76"/>
    <x v="1"/>
    <x v="5"/>
    <x v="92"/>
    <s v="Allergy"/>
    <x v="102"/>
    <x v="27"/>
    <n v="1"/>
    <x v="20"/>
  </r>
  <r>
    <x v="103"/>
    <n v="53"/>
    <x v="1"/>
    <x v="2"/>
    <x v="93"/>
    <s v="Allergy"/>
    <x v="103"/>
    <x v="0"/>
    <n v="3"/>
    <x v="14"/>
  </r>
  <r>
    <x v="104"/>
    <n v="57"/>
    <x v="1"/>
    <x v="5"/>
    <x v="94"/>
    <s v="Fracture"/>
    <x v="104"/>
    <x v="7"/>
    <n v="5"/>
    <x v="6"/>
  </r>
  <r>
    <x v="105"/>
    <n v="56"/>
    <x v="0"/>
    <x v="0"/>
    <x v="95"/>
    <s v="Allergy"/>
    <x v="105"/>
    <x v="49"/>
    <n v="3"/>
    <x v="14"/>
  </r>
  <r>
    <x v="106"/>
    <n v="74"/>
    <x v="0"/>
    <x v="0"/>
    <x v="96"/>
    <s v="Migraine"/>
    <x v="106"/>
    <x v="27"/>
    <n v="1"/>
    <x v="16"/>
  </r>
  <r>
    <x v="107"/>
    <n v="21"/>
    <x v="0"/>
    <x v="4"/>
    <x v="97"/>
    <s v="Fracture"/>
    <x v="107"/>
    <x v="39"/>
    <n v="1"/>
    <x v="21"/>
  </r>
  <r>
    <x v="108"/>
    <n v="69"/>
    <x v="0"/>
    <x v="2"/>
    <x v="98"/>
    <s v="Fracture"/>
    <x v="108"/>
    <x v="50"/>
    <n v="1"/>
    <x v="12"/>
  </r>
  <r>
    <x v="109"/>
    <n v="26"/>
    <x v="1"/>
    <x v="5"/>
    <x v="99"/>
    <s v="Hypertension"/>
    <x v="109"/>
    <x v="33"/>
    <n v="0"/>
    <x v="17"/>
  </r>
  <r>
    <x v="110"/>
    <n v="79"/>
    <x v="1"/>
    <x v="0"/>
    <x v="100"/>
    <s v="Migraine"/>
    <x v="110"/>
    <x v="5"/>
    <n v="3"/>
    <x v="4"/>
  </r>
  <r>
    <x v="111"/>
    <n v="19"/>
    <x v="0"/>
    <x v="4"/>
    <x v="70"/>
    <s v="Allergy"/>
    <x v="111"/>
    <x v="51"/>
    <n v="2"/>
    <x v="20"/>
  </r>
  <r>
    <x v="112"/>
    <n v="37"/>
    <x v="1"/>
    <x v="4"/>
    <x v="101"/>
    <s v="Allergy"/>
    <x v="112"/>
    <x v="3"/>
    <n v="5"/>
    <x v="15"/>
  </r>
  <r>
    <x v="113"/>
    <n v="5"/>
    <x v="0"/>
    <x v="4"/>
    <x v="102"/>
    <s v="Hypertension"/>
    <x v="113"/>
    <x v="21"/>
    <n v="3"/>
    <x v="10"/>
  </r>
  <r>
    <x v="114"/>
    <n v="47"/>
    <x v="1"/>
    <x v="0"/>
    <x v="103"/>
    <s v="Infection"/>
    <x v="114"/>
    <x v="12"/>
    <n v="3"/>
    <x v="5"/>
  </r>
  <r>
    <x v="115"/>
    <n v="18"/>
    <x v="0"/>
    <x v="2"/>
    <x v="104"/>
    <s v="Hypertension"/>
    <x v="115"/>
    <x v="2"/>
    <n v="0"/>
    <x v="0"/>
  </r>
  <r>
    <x v="116"/>
    <n v="60"/>
    <x v="1"/>
    <x v="0"/>
    <x v="105"/>
    <s v="Hypertension"/>
    <x v="116"/>
    <x v="52"/>
    <n v="4"/>
    <x v="12"/>
  </r>
  <r>
    <x v="117"/>
    <n v="34"/>
    <x v="1"/>
    <x v="1"/>
    <x v="106"/>
    <s v="Hypertension"/>
    <x v="117"/>
    <x v="13"/>
    <n v="5"/>
    <x v="11"/>
  </r>
  <r>
    <x v="118"/>
    <n v="49"/>
    <x v="0"/>
    <x v="2"/>
    <x v="107"/>
    <s v="Migraine"/>
    <x v="118"/>
    <x v="13"/>
    <n v="4"/>
    <x v="2"/>
  </r>
  <r>
    <x v="119"/>
    <n v="9"/>
    <x v="0"/>
    <x v="3"/>
    <x v="108"/>
    <s v="Diabetes"/>
    <x v="119"/>
    <x v="53"/>
    <n v="3"/>
    <x v="2"/>
  </r>
  <r>
    <x v="120"/>
    <n v="19"/>
    <x v="0"/>
    <x v="4"/>
    <x v="109"/>
    <s v="Fracture"/>
    <x v="120"/>
    <x v="34"/>
    <n v="0"/>
    <x v="19"/>
  </r>
  <r>
    <x v="121"/>
    <n v="65"/>
    <x v="1"/>
    <x v="2"/>
    <x v="110"/>
    <s v="Migraine"/>
    <x v="121"/>
    <x v="52"/>
    <n v="5"/>
    <x v="9"/>
  </r>
  <r>
    <x v="122"/>
    <n v="34"/>
    <x v="0"/>
    <x v="4"/>
    <x v="111"/>
    <s v="Diabetes"/>
    <x v="122"/>
    <x v="53"/>
    <n v="0"/>
    <x v="21"/>
  </r>
  <r>
    <x v="123"/>
    <n v="13"/>
    <x v="0"/>
    <x v="3"/>
    <x v="112"/>
    <s v="Allergy"/>
    <x v="123"/>
    <x v="35"/>
    <n v="3"/>
    <x v="17"/>
  </r>
  <r>
    <x v="124"/>
    <n v="42"/>
    <x v="1"/>
    <x v="5"/>
    <x v="113"/>
    <s v="Hypertension"/>
    <x v="124"/>
    <x v="36"/>
    <n v="1"/>
    <x v="16"/>
  </r>
  <r>
    <x v="125"/>
    <n v="22"/>
    <x v="1"/>
    <x v="1"/>
    <x v="114"/>
    <s v="Fracture"/>
    <x v="125"/>
    <x v="25"/>
    <n v="4"/>
    <x v="12"/>
  </r>
  <r>
    <x v="126"/>
    <n v="45"/>
    <x v="0"/>
    <x v="4"/>
    <x v="115"/>
    <s v="Fracture"/>
    <x v="126"/>
    <x v="42"/>
    <n v="5"/>
    <x v="18"/>
  </r>
  <r>
    <x v="127"/>
    <n v="39"/>
    <x v="0"/>
    <x v="5"/>
    <x v="116"/>
    <s v="Fracture"/>
    <x v="127"/>
    <x v="54"/>
    <n v="1"/>
    <x v="8"/>
  </r>
  <r>
    <x v="128"/>
    <n v="80"/>
    <x v="0"/>
    <x v="4"/>
    <x v="117"/>
    <s v="Fracture"/>
    <x v="128"/>
    <x v="39"/>
    <n v="5"/>
    <x v="21"/>
  </r>
  <r>
    <x v="129"/>
    <n v="20"/>
    <x v="1"/>
    <x v="3"/>
    <x v="118"/>
    <s v="Fracture"/>
    <x v="129"/>
    <x v="15"/>
    <n v="3"/>
    <x v="6"/>
  </r>
  <r>
    <x v="130"/>
    <n v="84"/>
    <x v="1"/>
    <x v="5"/>
    <x v="119"/>
    <s v="Infection"/>
    <x v="130"/>
    <x v="29"/>
    <n v="4"/>
    <x v="18"/>
  </r>
  <r>
    <x v="131"/>
    <n v="40"/>
    <x v="1"/>
    <x v="4"/>
    <x v="120"/>
    <s v="Infection"/>
    <x v="131"/>
    <x v="55"/>
    <n v="1"/>
    <x v="19"/>
  </r>
  <r>
    <x v="132"/>
    <n v="9"/>
    <x v="1"/>
    <x v="5"/>
    <x v="121"/>
    <s v="Infection"/>
    <x v="132"/>
    <x v="43"/>
    <n v="4"/>
    <x v="12"/>
  </r>
  <r>
    <x v="133"/>
    <n v="72"/>
    <x v="0"/>
    <x v="0"/>
    <x v="122"/>
    <s v="Hypertension"/>
    <x v="133"/>
    <x v="47"/>
    <n v="5"/>
    <x v="22"/>
  </r>
  <r>
    <x v="134"/>
    <n v="68"/>
    <x v="0"/>
    <x v="5"/>
    <x v="123"/>
    <s v="Infection"/>
    <x v="134"/>
    <x v="33"/>
    <n v="1"/>
    <x v="7"/>
  </r>
  <r>
    <x v="135"/>
    <n v="24"/>
    <x v="0"/>
    <x v="4"/>
    <x v="124"/>
    <s v="Infection"/>
    <x v="135"/>
    <x v="22"/>
    <n v="5"/>
    <x v="13"/>
  </r>
  <r>
    <x v="136"/>
    <n v="53"/>
    <x v="1"/>
    <x v="2"/>
    <x v="122"/>
    <s v="Diabetes"/>
    <x v="136"/>
    <x v="36"/>
    <n v="2"/>
    <x v="22"/>
  </r>
  <r>
    <x v="137"/>
    <n v="70"/>
    <x v="1"/>
    <x v="0"/>
    <x v="61"/>
    <s v="Migraine"/>
    <x v="137"/>
    <x v="0"/>
    <n v="5"/>
    <x v="14"/>
  </r>
  <r>
    <x v="138"/>
    <n v="84"/>
    <x v="1"/>
    <x v="3"/>
    <x v="124"/>
    <s v="Migraine"/>
    <x v="75"/>
    <x v="36"/>
    <n v="1"/>
    <x v="13"/>
  </r>
  <r>
    <x v="139"/>
    <n v="15"/>
    <x v="1"/>
    <x v="3"/>
    <x v="125"/>
    <s v="Diabetes"/>
    <x v="138"/>
    <x v="10"/>
    <n v="5"/>
    <x v="0"/>
  </r>
  <r>
    <x v="140"/>
    <n v="26"/>
    <x v="1"/>
    <x v="5"/>
    <x v="31"/>
    <s v="Fracture"/>
    <x v="139"/>
    <x v="48"/>
    <n v="0"/>
    <x v="9"/>
  </r>
  <r>
    <x v="141"/>
    <n v="49"/>
    <x v="1"/>
    <x v="2"/>
    <x v="126"/>
    <s v="Allergy"/>
    <x v="140"/>
    <x v="41"/>
    <n v="2"/>
    <x v="19"/>
  </r>
  <r>
    <x v="142"/>
    <n v="74"/>
    <x v="1"/>
    <x v="3"/>
    <x v="127"/>
    <s v="Fracture"/>
    <x v="141"/>
    <x v="16"/>
    <n v="2"/>
    <x v="13"/>
  </r>
  <r>
    <x v="143"/>
    <n v="52"/>
    <x v="0"/>
    <x v="2"/>
    <x v="128"/>
    <s v="Allergy"/>
    <x v="142"/>
    <x v="24"/>
    <n v="3"/>
    <x v="10"/>
  </r>
  <r>
    <x v="144"/>
    <n v="7"/>
    <x v="1"/>
    <x v="2"/>
    <x v="129"/>
    <s v="Hypertension"/>
    <x v="143"/>
    <x v="56"/>
    <n v="2"/>
    <x v="0"/>
  </r>
  <r>
    <x v="145"/>
    <n v="33"/>
    <x v="1"/>
    <x v="3"/>
    <x v="130"/>
    <s v="Fracture"/>
    <x v="144"/>
    <x v="53"/>
    <n v="2"/>
    <x v="10"/>
  </r>
  <r>
    <x v="146"/>
    <n v="52"/>
    <x v="0"/>
    <x v="3"/>
    <x v="131"/>
    <s v="Diabetes"/>
    <x v="145"/>
    <x v="49"/>
    <n v="2"/>
    <x v="4"/>
  </r>
  <r>
    <x v="147"/>
    <n v="75"/>
    <x v="0"/>
    <x v="4"/>
    <x v="132"/>
    <s v="Allergy"/>
    <x v="146"/>
    <x v="37"/>
    <n v="4"/>
    <x v="3"/>
  </r>
  <r>
    <x v="148"/>
    <n v="60"/>
    <x v="0"/>
    <x v="2"/>
    <x v="133"/>
    <s v="Migraine"/>
    <x v="147"/>
    <x v="43"/>
    <n v="0"/>
    <x v="21"/>
  </r>
  <r>
    <x v="149"/>
    <n v="60"/>
    <x v="1"/>
    <x v="4"/>
    <x v="134"/>
    <s v="Allergy"/>
    <x v="148"/>
    <x v="25"/>
    <n v="1"/>
    <x v="6"/>
  </r>
  <r>
    <x v="150"/>
    <n v="68"/>
    <x v="1"/>
    <x v="5"/>
    <x v="135"/>
    <s v="Fracture"/>
    <x v="149"/>
    <x v="52"/>
    <n v="3"/>
    <x v="9"/>
  </r>
  <r>
    <x v="151"/>
    <n v="16"/>
    <x v="1"/>
    <x v="0"/>
    <x v="136"/>
    <s v="Diabetes"/>
    <x v="150"/>
    <x v="15"/>
    <n v="0"/>
    <x v="5"/>
  </r>
  <r>
    <x v="152"/>
    <n v="25"/>
    <x v="0"/>
    <x v="2"/>
    <x v="137"/>
    <s v="Allergy"/>
    <x v="151"/>
    <x v="5"/>
    <n v="3"/>
    <x v="11"/>
  </r>
  <r>
    <x v="153"/>
    <n v="8"/>
    <x v="1"/>
    <x v="0"/>
    <x v="138"/>
    <s v="Infection"/>
    <x v="152"/>
    <x v="53"/>
    <n v="2"/>
    <x v="8"/>
  </r>
  <r>
    <x v="154"/>
    <n v="68"/>
    <x v="1"/>
    <x v="0"/>
    <x v="61"/>
    <s v="Migraine"/>
    <x v="153"/>
    <x v="10"/>
    <n v="4"/>
    <x v="14"/>
  </r>
  <r>
    <x v="155"/>
    <n v="62"/>
    <x v="0"/>
    <x v="3"/>
    <x v="139"/>
    <s v="Hypertension"/>
    <x v="154"/>
    <x v="50"/>
    <n v="3"/>
    <x v="13"/>
  </r>
  <r>
    <x v="156"/>
    <n v="49"/>
    <x v="1"/>
    <x v="4"/>
    <x v="140"/>
    <s v="Migraine"/>
    <x v="155"/>
    <x v="28"/>
    <n v="5"/>
    <x v="21"/>
  </r>
  <r>
    <x v="157"/>
    <n v="40"/>
    <x v="0"/>
    <x v="4"/>
    <x v="141"/>
    <s v="Migraine"/>
    <x v="156"/>
    <x v="29"/>
    <n v="5"/>
    <x v="8"/>
  </r>
  <r>
    <x v="158"/>
    <n v="22"/>
    <x v="1"/>
    <x v="1"/>
    <x v="142"/>
    <s v="Infection"/>
    <x v="157"/>
    <x v="57"/>
    <n v="2"/>
    <x v="11"/>
  </r>
  <r>
    <x v="159"/>
    <n v="25"/>
    <x v="0"/>
    <x v="0"/>
    <x v="143"/>
    <s v="Diabetes"/>
    <x v="158"/>
    <x v="18"/>
    <n v="5"/>
    <x v="2"/>
  </r>
  <r>
    <x v="160"/>
    <n v="39"/>
    <x v="0"/>
    <x v="4"/>
    <x v="144"/>
    <s v="Allergy"/>
    <x v="159"/>
    <x v="9"/>
    <n v="0"/>
    <x v="12"/>
  </r>
  <r>
    <x v="161"/>
    <n v="22"/>
    <x v="1"/>
    <x v="1"/>
    <x v="145"/>
    <s v="Fracture"/>
    <x v="160"/>
    <x v="58"/>
    <n v="5"/>
    <x v="20"/>
  </r>
  <r>
    <x v="162"/>
    <n v="37"/>
    <x v="1"/>
    <x v="2"/>
    <x v="146"/>
    <s v="Allergy"/>
    <x v="161"/>
    <x v="46"/>
    <n v="5"/>
    <x v="18"/>
  </r>
  <r>
    <x v="163"/>
    <n v="40"/>
    <x v="0"/>
    <x v="5"/>
    <x v="147"/>
    <s v="Allergy"/>
    <x v="162"/>
    <x v="0"/>
    <n v="0"/>
    <x v="18"/>
  </r>
  <r>
    <x v="164"/>
    <n v="62"/>
    <x v="0"/>
    <x v="3"/>
    <x v="148"/>
    <s v="Migraine"/>
    <x v="163"/>
    <x v="48"/>
    <n v="1"/>
    <x v="10"/>
  </r>
  <r>
    <x v="165"/>
    <n v="84"/>
    <x v="0"/>
    <x v="1"/>
    <x v="116"/>
    <s v="Fracture"/>
    <x v="164"/>
    <x v="23"/>
    <n v="3"/>
    <x v="8"/>
  </r>
  <r>
    <x v="166"/>
    <n v="47"/>
    <x v="0"/>
    <x v="2"/>
    <x v="5"/>
    <s v="Hypertension"/>
    <x v="165"/>
    <x v="16"/>
    <n v="5"/>
    <x v="5"/>
  </r>
  <r>
    <x v="167"/>
    <n v="75"/>
    <x v="1"/>
    <x v="3"/>
    <x v="149"/>
    <s v="Allergy"/>
    <x v="166"/>
    <x v="55"/>
    <n v="3"/>
    <x v="11"/>
  </r>
  <r>
    <x v="168"/>
    <n v="29"/>
    <x v="0"/>
    <x v="5"/>
    <x v="150"/>
    <s v="Infection"/>
    <x v="167"/>
    <x v="48"/>
    <n v="2"/>
    <x v="2"/>
  </r>
  <r>
    <x v="169"/>
    <n v="12"/>
    <x v="1"/>
    <x v="0"/>
    <x v="151"/>
    <s v="Diabetes"/>
    <x v="168"/>
    <x v="5"/>
    <n v="3"/>
    <x v="10"/>
  </r>
  <r>
    <x v="170"/>
    <n v="28"/>
    <x v="0"/>
    <x v="4"/>
    <x v="152"/>
    <s v="Diabetes"/>
    <x v="169"/>
    <x v="46"/>
    <n v="4"/>
    <x v="17"/>
  </r>
  <r>
    <x v="171"/>
    <n v="72"/>
    <x v="1"/>
    <x v="2"/>
    <x v="153"/>
    <s v="Fracture"/>
    <x v="170"/>
    <x v="33"/>
    <n v="0"/>
    <x v="2"/>
  </r>
  <r>
    <x v="172"/>
    <n v="8"/>
    <x v="1"/>
    <x v="5"/>
    <x v="119"/>
    <s v="Hypertension"/>
    <x v="171"/>
    <x v="49"/>
    <n v="0"/>
    <x v="18"/>
  </r>
  <r>
    <x v="173"/>
    <n v="11"/>
    <x v="0"/>
    <x v="3"/>
    <x v="154"/>
    <s v="Hypertension"/>
    <x v="172"/>
    <x v="3"/>
    <n v="2"/>
    <x v="0"/>
  </r>
  <r>
    <x v="174"/>
    <n v="36"/>
    <x v="0"/>
    <x v="4"/>
    <x v="155"/>
    <s v="Infection"/>
    <x v="173"/>
    <x v="33"/>
    <n v="3"/>
    <x v="8"/>
  </r>
  <r>
    <x v="175"/>
    <n v="90"/>
    <x v="1"/>
    <x v="5"/>
    <x v="156"/>
    <s v="Allergy"/>
    <x v="174"/>
    <x v="18"/>
    <n v="2"/>
    <x v="9"/>
  </r>
  <r>
    <x v="176"/>
    <n v="71"/>
    <x v="0"/>
    <x v="3"/>
    <x v="157"/>
    <s v="Migraine"/>
    <x v="175"/>
    <x v="25"/>
    <n v="0"/>
    <x v="18"/>
  </r>
  <r>
    <x v="177"/>
    <n v="34"/>
    <x v="1"/>
    <x v="0"/>
    <x v="158"/>
    <s v="Infection"/>
    <x v="176"/>
    <x v="53"/>
    <n v="5"/>
    <x v="20"/>
  </r>
  <r>
    <x v="178"/>
    <n v="27"/>
    <x v="1"/>
    <x v="4"/>
    <x v="84"/>
    <s v="Diabetes"/>
    <x v="177"/>
    <x v="32"/>
    <n v="4"/>
    <x v="19"/>
  </r>
  <r>
    <x v="179"/>
    <n v="33"/>
    <x v="0"/>
    <x v="0"/>
    <x v="159"/>
    <s v="Hypertension"/>
    <x v="178"/>
    <x v="10"/>
    <n v="3"/>
    <x v="9"/>
  </r>
  <r>
    <x v="180"/>
    <n v="3"/>
    <x v="0"/>
    <x v="0"/>
    <x v="160"/>
    <s v="Infection"/>
    <x v="179"/>
    <x v="52"/>
    <n v="5"/>
    <x v="19"/>
  </r>
  <r>
    <x v="181"/>
    <n v="18"/>
    <x v="1"/>
    <x v="1"/>
    <x v="161"/>
    <s v="Diabetes"/>
    <x v="180"/>
    <x v="22"/>
    <n v="5"/>
    <x v="0"/>
  </r>
  <r>
    <x v="182"/>
    <n v="20"/>
    <x v="1"/>
    <x v="2"/>
    <x v="162"/>
    <s v="Allergy"/>
    <x v="181"/>
    <x v="1"/>
    <n v="5"/>
    <x v="10"/>
  </r>
  <r>
    <x v="183"/>
    <n v="67"/>
    <x v="1"/>
    <x v="4"/>
    <x v="113"/>
    <s v="Allergy"/>
    <x v="182"/>
    <x v="8"/>
    <n v="2"/>
    <x v="16"/>
  </r>
  <r>
    <x v="184"/>
    <n v="24"/>
    <x v="0"/>
    <x v="0"/>
    <x v="163"/>
    <s v="Allergy"/>
    <x v="183"/>
    <x v="19"/>
    <n v="5"/>
    <x v="13"/>
  </r>
  <r>
    <x v="185"/>
    <n v="51"/>
    <x v="0"/>
    <x v="2"/>
    <x v="164"/>
    <s v="Diabetes"/>
    <x v="184"/>
    <x v="25"/>
    <n v="5"/>
    <x v="13"/>
  </r>
  <r>
    <x v="186"/>
    <n v="25"/>
    <x v="1"/>
    <x v="0"/>
    <x v="165"/>
    <s v="Allergy"/>
    <x v="185"/>
    <x v="9"/>
    <n v="0"/>
    <x v="11"/>
  </r>
  <r>
    <x v="187"/>
    <n v="79"/>
    <x v="1"/>
    <x v="5"/>
    <x v="163"/>
    <s v="Infection"/>
    <x v="186"/>
    <x v="14"/>
    <n v="4"/>
    <x v="13"/>
  </r>
  <r>
    <x v="188"/>
    <n v="15"/>
    <x v="1"/>
    <x v="3"/>
    <x v="166"/>
    <s v="Migraine"/>
    <x v="187"/>
    <x v="44"/>
    <n v="5"/>
    <x v="12"/>
  </r>
  <r>
    <x v="189"/>
    <n v="30"/>
    <x v="1"/>
    <x v="5"/>
    <x v="167"/>
    <s v="Allergy"/>
    <x v="188"/>
    <x v="34"/>
    <n v="5"/>
    <x v="13"/>
  </r>
  <r>
    <x v="190"/>
    <n v="14"/>
    <x v="1"/>
    <x v="1"/>
    <x v="168"/>
    <s v="Hypertension"/>
    <x v="189"/>
    <x v="57"/>
    <n v="2"/>
    <x v="21"/>
  </r>
  <r>
    <x v="191"/>
    <n v="11"/>
    <x v="1"/>
    <x v="3"/>
    <x v="169"/>
    <s v="Hypertension"/>
    <x v="190"/>
    <x v="43"/>
    <n v="3"/>
    <x v="21"/>
  </r>
  <r>
    <x v="192"/>
    <n v="66"/>
    <x v="0"/>
    <x v="3"/>
    <x v="170"/>
    <s v="Diabetes"/>
    <x v="191"/>
    <x v="42"/>
    <n v="0"/>
    <x v="8"/>
  </r>
  <r>
    <x v="193"/>
    <n v="77"/>
    <x v="0"/>
    <x v="4"/>
    <x v="171"/>
    <s v="Migraine"/>
    <x v="192"/>
    <x v="59"/>
    <n v="3"/>
    <x v="13"/>
  </r>
  <r>
    <x v="194"/>
    <n v="27"/>
    <x v="1"/>
    <x v="4"/>
    <x v="172"/>
    <s v="Fracture"/>
    <x v="193"/>
    <x v="33"/>
    <n v="0"/>
    <x v="16"/>
  </r>
  <r>
    <x v="195"/>
    <n v="80"/>
    <x v="0"/>
    <x v="0"/>
    <x v="173"/>
    <s v="Migraine"/>
    <x v="194"/>
    <x v="46"/>
    <n v="3"/>
    <x v="13"/>
  </r>
  <r>
    <x v="196"/>
    <n v="63"/>
    <x v="1"/>
    <x v="4"/>
    <x v="19"/>
    <s v="Diabetes"/>
    <x v="195"/>
    <x v="1"/>
    <n v="5"/>
    <x v="1"/>
  </r>
  <r>
    <x v="197"/>
    <n v="38"/>
    <x v="0"/>
    <x v="4"/>
    <x v="174"/>
    <s v="Allergy"/>
    <x v="196"/>
    <x v="49"/>
    <n v="3"/>
    <x v="22"/>
  </r>
  <r>
    <x v="198"/>
    <n v="57"/>
    <x v="1"/>
    <x v="0"/>
    <x v="117"/>
    <s v="Infection"/>
    <x v="197"/>
    <x v="52"/>
    <n v="5"/>
    <x v="21"/>
  </r>
  <r>
    <x v="199"/>
    <n v="41"/>
    <x v="0"/>
    <x v="1"/>
    <x v="175"/>
    <s v="Hypertension"/>
    <x v="102"/>
    <x v="24"/>
    <n v="4"/>
    <x v="8"/>
  </r>
  <r>
    <x v="200"/>
    <n v="43"/>
    <x v="1"/>
    <x v="3"/>
    <x v="176"/>
    <s v="Infection"/>
    <x v="198"/>
    <x v="15"/>
    <n v="1"/>
    <x v="10"/>
  </r>
  <r>
    <x v="201"/>
    <n v="14"/>
    <x v="1"/>
    <x v="5"/>
    <x v="177"/>
    <s v="Fracture"/>
    <x v="199"/>
    <x v="51"/>
    <n v="3"/>
    <x v="10"/>
  </r>
  <r>
    <x v="202"/>
    <n v="14"/>
    <x v="1"/>
    <x v="4"/>
    <x v="144"/>
    <s v="Migraine"/>
    <x v="200"/>
    <x v="23"/>
    <n v="1"/>
    <x v="12"/>
  </r>
  <r>
    <x v="203"/>
    <n v="32"/>
    <x v="0"/>
    <x v="5"/>
    <x v="178"/>
    <s v="Infection"/>
    <x v="201"/>
    <x v="53"/>
    <n v="1"/>
    <x v="3"/>
  </r>
  <r>
    <x v="204"/>
    <n v="43"/>
    <x v="0"/>
    <x v="1"/>
    <x v="179"/>
    <s v="Infection"/>
    <x v="202"/>
    <x v="21"/>
    <n v="5"/>
    <x v="1"/>
  </r>
  <r>
    <x v="205"/>
    <n v="20"/>
    <x v="0"/>
    <x v="4"/>
    <x v="106"/>
    <s v="Fracture"/>
    <x v="203"/>
    <x v="50"/>
    <n v="1"/>
    <x v="11"/>
  </r>
  <r>
    <x v="206"/>
    <n v="27"/>
    <x v="1"/>
    <x v="3"/>
    <x v="180"/>
    <s v="Diabetes"/>
    <x v="204"/>
    <x v="5"/>
    <n v="5"/>
    <x v="9"/>
  </r>
  <r>
    <x v="207"/>
    <n v="57"/>
    <x v="0"/>
    <x v="2"/>
    <x v="181"/>
    <s v="Hypertension"/>
    <x v="205"/>
    <x v="29"/>
    <n v="2"/>
    <x v="3"/>
  </r>
  <r>
    <x v="208"/>
    <n v="74"/>
    <x v="0"/>
    <x v="4"/>
    <x v="93"/>
    <s v="Allergy"/>
    <x v="206"/>
    <x v="49"/>
    <n v="2"/>
    <x v="14"/>
  </r>
  <r>
    <x v="209"/>
    <n v="12"/>
    <x v="0"/>
    <x v="4"/>
    <x v="182"/>
    <s v="Migraine"/>
    <x v="207"/>
    <x v="56"/>
    <n v="2"/>
    <x v="3"/>
  </r>
  <r>
    <x v="210"/>
    <n v="7"/>
    <x v="0"/>
    <x v="2"/>
    <x v="183"/>
    <s v="Infection"/>
    <x v="208"/>
    <x v="16"/>
    <n v="1"/>
    <x v="6"/>
  </r>
  <r>
    <x v="211"/>
    <n v="62"/>
    <x v="1"/>
    <x v="5"/>
    <x v="184"/>
    <s v="Allergy"/>
    <x v="209"/>
    <x v="24"/>
    <n v="4"/>
    <x v="17"/>
  </r>
  <r>
    <x v="212"/>
    <n v="29"/>
    <x v="1"/>
    <x v="3"/>
    <x v="185"/>
    <s v="Allergy"/>
    <x v="210"/>
    <x v="45"/>
    <n v="3"/>
    <x v="19"/>
  </r>
  <r>
    <x v="213"/>
    <n v="52"/>
    <x v="0"/>
    <x v="1"/>
    <x v="118"/>
    <s v="Allergy"/>
    <x v="211"/>
    <x v="42"/>
    <n v="2"/>
    <x v="6"/>
  </r>
  <r>
    <x v="214"/>
    <n v="44"/>
    <x v="0"/>
    <x v="0"/>
    <x v="53"/>
    <s v="Infection"/>
    <x v="212"/>
    <x v="60"/>
    <n v="3"/>
    <x v="14"/>
  </r>
  <r>
    <x v="215"/>
    <n v="13"/>
    <x v="1"/>
    <x v="1"/>
    <x v="186"/>
    <s v="Infection"/>
    <x v="213"/>
    <x v="28"/>
    <n v="0"/>
    <x v="22"/>
  </r>
  <r>
    <x v="216"/>
    <n v="39"/>
    <x v="1"/>
    <x v="0"/>
    <x v="187"/>
    <s v="Diabetes"/>
    <x v="214"/>
    <x v="3"/>
    <n v="5"/>
    <x v="14"/>
  </r>
  <r>
    <x v="217"/>
    <n v="33"/>
    <x v="1"/>
    <x v="5"/>
    <x v="188"/>
    <s v="Hypertension"/>
    <x v="215"/>
    <x v="33"/>
    <n v="5"/>
    <x v="10"/>
  </r>
  <r>
    <x v="218"/>
    <n v="7"/>
    <x v="0"/>
    <x v="4"/>
    <x v="189"/>
    <s v="Hypertension"/>
    <x v="216"/>
    <x v="5"/>
    <n v="2"/>
    <x v="5"/>
  </r>
  <r>
    <x v="219"/>
    <n v="19"/>
    <x v="0"/>
    <x v="0"/>
    <x v="190"/>
    <s v="Diabetes"/>
    <x v="217"/>
    <x v="8"/>
    <n v="4"/>
    <x v="4"/>
  </r>
  <r>
    <x v="220"/>
    <n v="60"/>
    <x v="0"/>
    <x v="2"/>
    <x v="191"/>
    <s v="Infection"/>
    <x v="218"/>
    <x v="8"/>
    <n v="2"/>
    <x v="11"/>
  </r>
  <r>
    <x v="221"/>
    <n v="59"/>
    <x v="0"/>
    <x v="0"/>
    <x v="192"/>
    <s v="Migraine"/>
    <x v="219"/>
    <x v="24"/>
    <n v="1"/>
    <x v="14"/>
  </r>
  <r>
    <x v="222"/>
    <n v="19"/>
    <x v="1"/>
    <x v="4"/>
    <x v="193"/>
    <s v="Allergy"/>
    <x v="220"/>
    <x v="27"/>
    <n v="3"/>
    <x v="17"/>
  </r>
  <r>
    <x v="223"/>
    <n v="24"/>
    <x v="0"/>
    <x v="4"/>
    <x v="194"/>
    <s v="Infection"/>
    <x v="221"/>
    <x v="35"/>
    <n v="1"/>
    <x v="20"/>
  </r>
  <r>
    <x v="224"/>
    <n v="28"/>
    <x v="1"/>
    <x v="1"/>
    <x v="195"/>
    <s v="Allergy"/>
    <x v="222"/>
    <x v="19"/>
    <n v="2"/>
    <x v="16"/>
  </r>
  <r>
    <x v="225"/>
    <n v="77"/>
    <x v="0"/>
    <x v="0"/>
    <x v="1"/>
    <s v="Migraine"/>
    <x v="223"/>
    <x v="49"/>
    <n v="4"/>
    <x v="1"/>
  </r>
  <r>
    <x v="226"/>
    <n v="79"/>
    <x v="1"/>
    <x v="3"/>
    <x v="196"/>
    <s v="Fracture"/>
    <x v="224"/>
    <x v="4"/>
    <n v="1"/>
    <x v="14"/>
  </r>
  <r>
    <x v="227"/>
    <n v="27"/>
    <x v="1"/>
    <x v="5"/>
    <x v="140"/>
    <s v="Hypertension"/>
    <x v="225"/>
    <x v="54"/>
    <n v="3"/>
    <x v="21"/>
  </r>
  <r>
    <x v="228"/>
    <n v="51"/>
    <x v="0"/>
    <x v="3"/>
    <x v="197"/>
    <s v="Fracture"/>
    <x v="226"/>
    <x v="23"/>
    <n v="1"/>
    <x v="14"/>
  </r>
  <r>
    <x v="229"/>
    <n v="17"/>
    <x v="1"/>
    <x v="4"/>
    <x v="198"/>
    <s v="Migraine"/>
    <x v="227"/>
    <x v="35"/>
    <n v="1"/>
    <x v="9"/>
  </r>
  <r>
    <x v="230"/>
    <n v="44"/>
    <x v="0"/>
    <x v="1"/>
    <x v="115"/>
    <s v="Allergy"/>
    <x v="228"/>
    <x v="15"/>
    <n v="5"/>
    <x v="18"/>
  </r>
  <r>
    <x v="231"/>
    <n v="37"/>
    <x v="0"/>
    <x v="1"/>
    <x v="199"/>
    <s v="Hypertension"/>
    <x v="229"/>
    <x v="17"/>
    <n v="0"/>
    <x v="3"/>
  </r>
  <r>
    <x v="232"/>
    <n v="74"/>
    <x v="0"/>
    <x v="1"/>
    <x v="200"/>
    <s v="Allergy"/>
    <x v="230"/>
    <x v="42"/>
    <n v="2"/>
    <x v="6"/>
  </r>
  <r>
    <x v="233"/>
    <n v="11"/>
    <x v="0"/>
    <x v="4"/>
    <x v="201"/>
    <s v="Infection"/>
    <x v="231"/>
    <x v="23"/>
    <n v="1"/>
    <x v="11"/>
  </r>
  <r>
    <x v="234"/>
    <n v="58"/>
    <x v="0"/>
    <x v="2"/>
    <x v="202"/>
    <s v="Allergy"/>
    <x v="232"/>
    <x v="29"/>
    <n v="5"/>
    <x v="8"/>
  </r>
  <r>
    <x v="235"/>
    <n v="45"/>
    <x v="0"/>
    <x v="4"/>
    <x v="203"/>
    <s v="Hypertension"/>
    <x v="233"/>
    <x v="42"/>
    <n v="3"/>
    <x v="4"/>
  </r>
  <r>
    <x v="236"/>
    <n v="47"/>
    <x v="0"/>
    <x v="3"/>
    <x v="204"/>
    <s v="Hypertension"/>
    <x v="234"/>
    <x v="35"/>
    <n v="3"/>
    <x v="22"/>
  </r>
  <r>
    <x v="237"/>
    <n v="30"/>
    <x v="0"/>
    <x v="4"/>
    <x v="159"/>
    <s v="Hypertension"/>
    <x v="235"/>
    <x v="38"/>
    <n v="0"/>
    <x v="9"/>
  </r>
  <r>
    <x v="238"/>
    <n v="75"/>
    <x v="0"/>
    <x v="4"/>
    <x v="205"/>
    <s v="Diabetes"/>
    <x v="236"/>
    <x v="34"/>
    <n v="1"/>
    <x v="2"/>
  </r>
  <r>
    <x v="239"/>
    <n v="86"/>
    <x v="1"/>
    <x v="4"/>
    <x v="206"/>
    <s v="Migraine"/>
    <x v="237"/>
    <x v="13"/>
    <n v="0"/>
    <x v="10"/>
  </r>
  <r>
    <x v="240"/>
    <n v="72"/>
    <x v="1"/>
    <x v="0"/>
    <x v="207"/>
    <s v="Diabetes"/>
    <x v="238"/>
    <x v="13"/>
    <n v="0"/>
    <x v="20"/>
  </r>
  <r>
    <x v="241"/>
    <n v="14"/>
    <x v="1"/>
    <x v="4"/>
    <x v="208"/>
    <s v="Fracture"/>
    <x v="239"/>
    <x v="44"/>
    <n v="5"/>
    <x v="12"/>
  </r>
  <r>
    <x v="242"/>
    <n v="70"/>
    <x v="1"/>
    <x v="0"/>
    <x v="209"/>
    <s v="Migraine"/>
    <x v="240"/>
    <x v="5"/>
    <n v="5"/>
    <x v="5"/>
  </r>
  <r>
    <x v="243"/>
    <n v="2"/>
    <x v="1"/>
    <x v="4"/>
    <x v="126"/>
    <s v="Fracture"/>
    <x v="241"/>
    <x v="8"/>
    <n v="1"/>
    <x v="19"/>
  </r>
  <r>
    <x v="244"/>
    <n v="30"/>
    <x v="0"/>
    <x v="2"/>
    <x v="210"/>
    <s v="Allergy"/>
    <x v="242"/>
    <x v="18"/>
    <n v="0"/>
    <x v="22"/>
  </r>
  <r>
    <x v="245"/>
    <n v="9"/>
    <x v="1"/>
    <x v="3"/>
    <x v="211"/>
    <s v="Migraine"/>
    <x v="243"/>
    <x v="1"/>
    <n v="2"/>
    <x v="18"/>
  </r>
  <r>
    <x v="246"/>
    <n v="16"/>
    <x v="0"/>
    <x v="2"/>
    <x v="212"/>
    <s v="Fracture"/>
    <x v="244"/>
    <x v="31"/>
    <n v="5"/>
    <x v="19"/>
  </r>
  <r>
    <x v="247"/>
    <n v="32"/>
    <x v="0"/>
    <x v="0"/>
    <x v="68"/>
    <s v="Fracture"/>
    <x v="245"/>
    <x v="35"/>
    <n v="4"/>
    <x v="18"/>
  </r>
  <r>
    <x v="248"/>
    <n v="60"/>
    <x v="0"/>
    <x v="1"/>
    <x v="213"/>
    <s v="Fracture"/>
    <x v="246"/>
    <x v="34"/>
    <n v="1"/>
    <x v="8"/>
  </r>
  <r>
    <x v="249"/>
    <n v="52"/>
    <x v="0"/>
    <x v="1"/>
    <x v="214"/>
    <s v="Diabetes"/>
    <x v="247"/>
    <x v="56"/>
    <n v="3"/>
    <x v="12"/>
  </r>
  <r>
    <x v="250"/>
    <n v="82"/>
    <x v="1"/>
    <x v="1"/>
    <x v="215"/>
    <s v="Fracture"/>
    <x v="248"/>
    <x v="57"/>
    <n v="5"/>
    <x v="19"/>
  </r>
  <r>
    <x v="251"/>
    <n v="36"/>
    <x v="1"/>
    <x v="0"/>
    <x v="216"/>
    <s v="Fracture"/>
    <x v="249"/>
    <x v="59"/>
    <n v="3"/>
    <x v="3"/>
  </r>
  <r>
    <x v="252"/>
    <n v="34"/>
    <x v="0"/>
    <x v="3"/>
    <x v="217"/>
    <s v="Migraine"/>
    <x v="250"/>
    <x v="23"/>
    <n v="4"/>
    <x v="9"/>
  </r>
  <r>
    <x v="253"/>
    <n v="22"/>
    <x v="1"/>
    <x v="4"/>
    <x v="218"/>
    <s v="Migraine"/>
    <x v="251"/>
    <x v="29"/>
    <n v="4"/>
    <x v="15"/>
  </r>
  <r>
    <x v="254"/>
    <n v="58"/>
    <x v="0"/>
    <x v="0"/>
    <x v="219"/>
    <s v="Hypertension"/>
    <x v="252"/>
    <x v="5"/>
    <n v="4"/>
    <x v="16"/>
  </r>
  <r>
    <x v="255"/>
    <n v="55"/>
    <x v="1"/>
    <x v="1"/>
    <x v="220"/>
    <s v="Infection"/>
    <x v="253"/>
    <x v="25"/>
    <n v="4"/>
    <x v="4"/>
  </r>
  <r>
    <x v="256"/>
    <n v="58"/>
    <x v="1"/>
    <x v="5"/>
    <x v="107"/>
    <s v="Fracture"/>
    <x v="254"/>
    <x v="34"/>
    <n v="2"/>
    <x v="2"/>
  </r>
  <r>
    <x v="257"/>
    <n v="9"/>
    <x v="1"/>
    <x v="2"/>
    <x v="221"/>
    <s v="Infection"/>
    <x v="255"/>
    <x v="29"/>
    <n v="4"/>
    <x v="0"/>
  </r>
  <r>
    <x v="258"/>
    <n v="80"/>
    <x v="0"/>
    <x v="2"/>
    <x v="222"/>
    <s v="Infection"/>
    <x v="256"/>
    <x v="0"/>
    <n v="3"/>
    <x v="2"/>
  </r>
  <r>
    <x v="259"/>
    <n v="77"/>
    <x v="0"/>
    <x v="2"/>
    <x v="223"/>
    <s v="Diabetes"/>
    <x v="257"/>
    <x v="53"/>
    <n v="2"/>
    <x v="8"/>
  </r>
  <r>
    <x v="260"/>
    <n v="69"/>
    <x v="0"/>
    <x v="4"/>
    <x v="224"/>
    <s v="Fracture"/>
    <x v="258"/>
    <x v="7"/>
    <n v="5"/>
    <x v="3"/>
  </r>
  <r>
    <x v="261"/>
    <n v="5"/>
    <x v="1"/>
    <x v="4"/>
    <x v="92"/>
    <s v="Allergy"/>
    <x v="259"/>
    <x v="27"/>
    <n v="2"/>
    <x v="20"/>
  </r>
  <r>
    <x v="262"/>
    <n v="82"/>
    <x v="1"/>
    <x v="3"/>
    <x v="225"/>
    <s v="Diabetes"/>
    <x v="260"/>
    <x v="21"/>
    <n v="2"/>
    <x v="3"/>
  </r>
  <r>
    <x v="263"/>
    <n v="1"/>
    <x v="1"/>
    <x v="2"/>
    <x v="111"/>
    <s v="Hypertension"/>
    <x v="261"/>
    <x v="43"/>
    <n v="0"/>
    <x v="21"/>
  </r>
  <r>
    <x v="264"/>
    <n v="57"/>
    <x v="1"/>
    <x v="3"/>
    <x v="100"/>
    <s v="Diabetes"/>
    <x v="262"/>
    <x v="38"/>
    <n v="1"/>
    <x v="4"/>
  </r>
  <r>
    <x v="265"/>
    <n v="58"/>
    <x v="0"/>
    <x v="4"/>
    <x v="171"/>
    <s v="Infection"/>
    <x v="263"/>
    <x v="27"/>
    <n v="4"/>
    <x v="13"/>
  </r>
  <r>
    <x v="266"/>
    <n v="35"/>
    <x v="1"/>
    <x v="2"/>
    <x v="226"/>
    <s v="Allergy"/>
    <x v="264"/>
    <x v="43"/>
    <n v="3"/>
    <x v="3"/>
  </r>
  <r>
    <x v="267"/>
    <n v="33"/>
    <x v="0"/>
    <x v="3"/>
    <x v="122"/>
    <s v="Diabetes"/>
    <x v="265"/>
    <x v="19"/>
    <n v="4"/>
    <x v="22"/>
  </r>
  <r>
    <x v="268"/>
    <n v="42"/>
    <x v="0"/>
    <x v="1"/>
    <x v="227"/>
    <s v="Diabetes"/>
    <x v="266"/>
    <x v="53"/>
    <n v="5"/>
    <x v="12"/>
  </r>
  <r>
    <x v="269"/>
    <n v="50"/>
    <x v="0"/>
    <x v="4"/>
    <x v="228"/>
    <s v="Diabetes"/>
    <x v="267"/>
    <x v="32"/>
    <n v="1"/>
    <x v="4"/>
  </r>
  <r>
    <x v="270"/>
    <n v="64"/>
    <x v="1"/>
    <x v="1"/>
    <x v="229"/>
    <s v="Allergy"/>
    <x v="268"/>
    <x v="45"/>
    <n v="0"/>
    <x v="0"/>
  </r>
  <r>
    <x v="271"/>
    <n v="65"/>
    <x v="0"/>
    <x v="2"/>
    <x v="230"/>
    <s v="Migraine"/>
    <x v="269"/>
    <x v="32"/>
    <n v="5"/>
    <x v="18"/>
  </r>
  <r>
    <x v="272"/>
    <n v="52"/>
    <x v="1"/>
    <x v="3"/>
    <x v="68"/>
    <s v="Diabetes"/>
    <x v="270"/>
    <x v="52"/>
    <n v="0"/>
    <x v="18"/>
  </r>
  <r>
    <x v="273"/>
    <n v="85"/>
    <x v="1"/>
    <x v="4"/>
    <x v="231"/>
    <s v="Migraine"/>
    <x v="271"/>
    <x v="1"/>
    <n v="5"/>
    <x v="4"/>
  </r>
  <r>
    <x v="274"/>
    <n v="68"/>
    <x v="1"/>
    <x v="0"/>
    <x v="181"/>
    <s v="Diabetes"/>
    <x v="272"/>
    <x v="20"/>
    <n v="0"/>
    <x v="3"/>
  </r>
  <r>
    <x v="275"/>
    <n v="64"/>
    <x v="1"/>
    <x v="3"/>
    <x v="77"/>
    <s v="Hypertension"/>
    <x v="273"/>
    <x v="32"/>
    <n v="2"/>
    <x v="17"/>
  </r>
  <r>
    <x v="276"/>
    <n v="75"/>
    <x v="0"/>
    <x v="5"/>
    <x v="232"/>
    <s v="Allergy"/>
    <x v="274"/>
    <x v="40"/>
    <n v="0"/>
    <x v="1"/>
  </r>
  <r>
    <x v="277"/>
    <n v="73"/>
    <x v="0"/>
    <x v="5"/>
    <x v="233"/>
    <s v="Hypertension"/>
    <x v="275"/>
    <x v="33"/>
    <n v="2"/>
    <x v="4"/>
  </r>
  <r>
    <x v="278"/>
    <n v="49"/>
    <x v="0"/>
    <x v="4"/>
    <x v="234"/>
    <s v="Infection"/>
    <x v="276"/>
    <x v="39"/>
    <n v="4"/>
    <x v="10"/>
  </r>
  <r>
    <x v="279"/>
    <n v="27"/>
    <x v="1"/>
    <x v="5"/>
    <x v="67"/>
    <s v="Diabetes"/>
    <x v="277"/>
    <x v="60"/>
    <n v="1"/>
    <x v="5"/>
  </r>
  <r>
    <x v="280"/>
    <n v="17"/>
    <x v="1"/>
    <x v="1"/>
    <x v="235"/>
    <s v="Allergy"/>
    <x v="260"/>
    <x v="3"/>
    <n v="3"/>
    <x v="7"/>
  </r>
  <r>
    <x v="281"/>
    <n v="88"/>
    <x v="0"/>
    <x v="2"/>
    <x v="236"/>
    <s v="Fracture"/>
    <x v="278"/>
    <x v="16"/>
    <n v="0"/>
    <x v="12"/>
  </r>
  <r>
    <x v="282"/>
    <n v="9"/>
    <x v="1"/>
    <x v="1"/>
    <x v="237"/>
    <s v="Hypertension"/>
    <x v="279"/>
    <x v="59"/>
    <n v="4"/>
    <x v="6"/>
  </r>
  <r>
    <x v="283"/>
    <n v="24"/>
    <x v="1"/>
    <x v="5"/>
    <x v="133"/>
    <s v="Diabetes"/>
    <x v="280"/>
    <x v="21"/>
    <n v="1"/>
    <x v="21"/>
  </r>
  <r>
    <x v="284"/>
    <n v="83"/>
    <x v="1"/>
    <x v="2"/>
    <x v="238"/>
    <s v="Allergy"/>
    <x v="281"/>
    <x v="4"/>
    <n v="5"/>
    <x v="22"/>
  </r>
  <r>
    <x v="285"/>
    <n v="46"/>
    <x v="0"/>
    <x v="0"/>
    <x v="239"/>
    <s v="Fracture"/>
    <x v="282"/>
    <x v="1"/>
    <n v="5"/>
    <x v="8"/>
  </r>
  <r>
    <x v="286"/>
    <n v="74"/>
    <x v="1"/>
    <x v="0"/>
    <x v="42"/>
    <s v="Diabetes"/>
    <x v="283"/>
    <x v="43"/>
    <n v="4"/>
    <x v="19"/>
  </r>
  <r>
    <x v="287"/>
    <n v="85"/>
    <x v="0"/>
    <x v="3"/>
    <x v="136"/>
    <s v="Migraine"/>
    <x v="284"/>
    <x v="51"/>
    <n v="3"/>
    <x v="5"/>
  </r>
  <r>
    <x v="288"/>
    <n v="70"/>
    <x v="0"/>
    <x v="1"/>
    <x v="240"/>
    <s v="Hypertension"/>
    <x v="285"/>
    <x v="29"/>
    <n v="0"/>
    <x v="5"/>
  </r>
  <r>
    <x v="289"/>
    <n v="8"/>
    <x v="1"/>
    <x v="5"/>
    <x v="241"/>
    <s v="Migraine"/>
    <x v="286"/>
    <x v="18"/>
    <n v="5"/>
    <x v="0"/>
  </r>
  <r>
    <x v="290"/>
    <n v="70"/>
    <x v="1"/>
    <x v="0"/>
    <x v="242"/>
    <s v="Migraine"/>
    <x v="287"/>
    <x v="55"/>
    <n v="3"/>
    <x v="12"/>
  </r>
  <r>
    <x v="291"/>
    <n v="18"/>
    <x v="0"/>
    <x v="1"/>
    <x v="192"/>
    <s v="Migraine"/>
    <x v="288"/>
    <x v="37"/>
    <n v="4"/>
    <x v="14"/>
  </r>
  <r>
    <x v="292"/>
    <n v="27"/>
    <x v="1"/>
    <x v="5"/>
    <x v="243"/>
    <s v="Infection"/>
    <x v="289"/>
    <x v="26"/>
    <n v="2"/>
    <x v="4"/>
  </r>
  <r>
    <x v="293"/>
    <n v="55"/>
    <x v="0"/>
    <x v="3"/>
    <x v="114"/>
    <s v="Diabetes"/>
    <x v="290"/>
    <x v="45"/>
    <n v="0"/>
    <x v="12"/>
  </r>
  <r>
    <x v="294"/>
    <n v="78"/>
    <x v="0"/>
    <x v="4"/>
    <x v="244"/>
    <s v="Allergy"/>
    <x v="291"/>
    <x v="6"/>
    <n v="4"/>
    <x v="13"/>
  </r>
  <r>
    <x v="295"/>
    <n v="19"/>
    <x v="1"/>
    <x v="5"/>
    <x v="245"/>
    <s v="Migraine"/>
    <x v="292"/>
    <x v="42"/>
    <n v="5"/>
    <x v="12"/>
  </r>
  <r>
    <x v="296"/>
    <n v="69"/>
    <x v="0"/>
    <x v="3"/>
    <x v="246"/>
    <s v="Migraine"/>
    <x v="293"/>
    <x v="1"/>
    <n v="5"/>
    <x v="3"/>
  </r>
  <r>
    <x v="297"/>
    <n v="58"/>
    <x v="1"/>
    <x v="0"/>
    <x v="247"/>
    <s v="Diabetes"/>
    <x v="294"/>
    <x v="28"/>
    <n v="5"/>
    <x v="21"/>
  </r>
  <r>
    <x v="298"/>
    <n v="55"/>
    <x v="0"/>
    <x v="0"/>
    <x v="248"/>
    <s v="Fracture"/>
    <x v="295"/>
    <x v="13"/>
    <n v="4"/>
    <x v="2"/>
  </r>
  <r>
    <x v="299"/>
    <n v="80"/>
    <x v="0"/>
    <x v="3"/>
    <x v="214"/>
    <s v="Allergy"/>
    <x v="296"/>
    <x v="48"/>
    <n v="1"/>
    <x v="12"/>
  </r>
  <r>
    <x v="300"/>
    <n v="52"/>
    <x v="0"/>
    <x v="5"/>
    <x v="249"/>
    <s v="Allergy"/>
    <x v="297"/>
    <x v="58"/>
    <n v="2"/>
    <x v="8"/>
  </r>
  <r>
    <x v="301"/>
    <n v="51"/>
    <x v="1"/>
    <x v="0"/>
    <x v="226"/>
    <s v="Diabetes"/>
    <x v="298"/>
    <x v="29"/>
    <n v="0"/>
    <x v="3"/>
  </r>
  <r>
    <x v="302"/>
    <n v="48"/>
    <x v="1"/>
    <x v="4"/>
    <x v="250"/>
    <s v="Migraine"/>
    <x v="299"/>
    <x v="46"/>
    <n v="0"/>
    <x v="16"/>
  </r>
  <r>
    <x v="303"/>
    <n v="58"/>
    <x v="0"/>
    <x v="0"/>
    <x v="117"/>
    <s v="Allergy"/>
    <x v="300"/>
    <x v="8"/>
    <n v="4"/>
    <x v="21"/>
  </r>
  <r>
    <x v="304"/>
    <n v="19"/>
    <x v="0"/>
    <x v="3"/>
    <x v="251"/>
    <s v="Hypertension"/>
    <x v="301"/>
    <x v="20"/>
    <n v="3"/>
    <x v="14"/>
  </r>
  <r>
    <x v="305"/>
    <n v="45"/>
    <x v="1"/>
    <x v="4"/>
    <x v="6"/>
    <s v="Migraine"/>
    <x v="302"/>
    <x v="57"/>
    <n v="1"/>
    <x v="6"/>
  </r>
  <r>
    <x v="306"/>
    <n v="34"/>
    <x v="1"/>
    <x v="3"/>
    <x v="252"/>
    <s v="Infection"/>
    <x v="303"/>
    <x v="13"/>
    <n v="3"/>
    <x v="5"/>
  </r>
  <r>
    <x v="307"/>
    <n v="8"/>
    <x v="0"/>
    <x v="4"/>
    <x v="253"/>
    <s v="Migraine"/>
    <x v="304"/>
    <x v="20"/>
    <n v="5"/>
    <x v="0"/>
  </r>
  <r>
    <x v="308"/>
    <n v="41"/>
    <x v="0"/>
    <x v="3"/>
    <x v="167"/>
    <s v="Hypertension"/>
    <x v="305"/>
    <x v="49"/>
    <n v="5"/>
    <x v="13"/>
  </r>
  <r>
    <x v="309"/>
    <n v="9"/>
    <x v="0"/>
    <x v="0"/>
    <x v="254"/>
    <s v="Allergy"/>
    <x v="306"/>
    <x v="49"/>
    <n v="3"/>
    <x v="12"/>
  </r>
  <r>
    <x v="310"/>
    <n v="51"/>
    <x v="0"/>
    <x v="2"/>
    <x v="61"/>
    <s v="Allergy"/>
    <x v="307"/>
    <x v="26"/>
    <n v="2"/>
    <x v="14"/>
  </r>
  <r>
    <x v="311"/>
    <n v="42"/>
    <x v="1"/>
    <x v="0"/>
    <x v="179"/>
    <s v="Fracture"/>
    <x v="308"/>
    <x v="3"/>
    <n v="3"/>
    <x v="1"/>
  </r>
  <r>
    <x v="312"/>
    <n v="81"/>
    <x v="1"/>
    <x v="4"/>
    <x v="54"/>
    <s v="Hypertension"/>
    <x v="309"/>
    <x v="14"/>
    <n v="3"/>
    <x v="15"/>
  </r>
  <r>
    <x v="313"/>
    <n v="84"/>
    <x v="0"/>
    <x v="1"/>
    <x v="47"/>
    <s v="Migraine"/>
    <x v="310"/>
    <x v="56"/>
    <n v="0"/>
    <x v="15"/>
  </r>
  <r>
    <x v="314"/>
    <n v="83"/>
    <x v="0"/>
    <x v="3"/>
    <x v="31"/>
    <s v="Diabetes"/>
    <x v="311"/>
    <x v="30"/>
    <n v="5"/>
    <x v="9"/>
  </r>
  <r>
    <x v="315"/>
    <n v="70"/>
    <x v="0"/>
    <x v="1"/>
    <x v="255"/>
    <s v="Migraine"/>
    <x v="312"/>
    <x v="58"/>
    <n v="3"/>
    <x v="1"/>
  </r>
  <r>
    <x v="316"/>
    <n v="89"/>
    <x v="1"/>
    <x v="5"/>
    <x v="256"/>
    <s v="Diabetes"/>
    <x v="313"/>
    <x v="47"/>
    <n v="3"/>
    <x v="4"/>
  </r>
  <r>
    <x v="317"/>
    <n v="85"/>
    <x v="0"/>
    <x v="2"/>
    <x v="257"/>
    <s v="Hypertension"/>
    <x v="314"/>
    <x v="48"/>
    <n v="4"/>
    <x v="12"/>
  </r>
  <r>
    <x v="318"/>
    <n v="37"/>
    <x v="0"/>
    <x v="0"/>
    <x v="80"/>
    <s v="Hypertension"/>
    <x v="315"/>
    <x v="49"/>
    <n v="3"/>
    <x v="10"/>
  </r>
  <r>
    <x v="319"/>
    <n v="61"/>
    <x v="1"/>
    <x v="0"/>
    <x v="258"/>
    <s v="Hypertension"/>
    <x v="316"/>
    <x v="23"/>
    <n v="1"/>
    <x v="17"/>
  </r>
  <r>
    <x v="320"/>
    <n v="79"/>
    <x v="1"/>
    <x v="4"/>
    <x v="259"/>
    <s v="Allergy"/>
    <x v="317"/>
    <x v="7"/>
    <n v="2"/>
    <x v="7"/>
  </r>
  <r>
    <x v="321"/>
    <n v="64"/>
    <x v="1"/>
    <x v="0"/>
    <x v="260"/>
    <s v="Hypertension"/>
    <x v="318"/>
    <x v="19"/>
    <n v="2"/>
    <x v="6"/>
  </r>
  <r>
    <x v="322"/>
    <n v="79"/>
    <x v="1"/>
    <x v="1"/>
    <x v="261"/>
    <s v="Migraine"/>
    <x v="319"/>
    <x v="60"/>
    <n v="3"/>
    <x v="8"/>
  </r>
  <r>
    <x v="323"/>
    <n v="27"/>
    <x v="0"/>
    <x v="2"/>
    <x v="53"/>
    <s v="Hypertension"/>
    <x v="320"/>
    <x v="28"/>
    <n v="0"/>
    <x v="14"/>
  </r>
  <r>
    <x v="324"/>
    <n v="31"/>
    <x v="0"/>
    <x v="4"/>
    <x v="262"/>
    <s v="Allergy"/>
    <x v="321"/>
    <x v="44"/>
    <n v="0"/>
    <x v="18"/>
  </r>
  <r>
    <x v="325"/>
    <n v="87"/>
    <x v="1"/>
    <x v="4"/>
    <x v="263"/>
    <s v="Hypertension"/>
    <x v="322"/>
    <x v="48"/>
    <n v="3"/>
    <x v="7"/>
  </r>
  <r>
    <x v="326"/>
    <n v="7"/>
    <x v="1"/>
    <x v="3"/>
    <x v="264"/>
    <s v="Allergy"/>
    <x v="323"/>
    <x v="11"/>
    <n v="2"/>
    <x v="2"/>
  </r>
  <r>
    <x v="327"/>
    <n v="23"/>
    <x v="0"/>
    <x v="1"/>
    <x v="265"/>
    <s v="Infection"/>
    <x v="324"/>
    <x v="2"/>
    <n v="4"/>
    <x v="16"/>
  </r>
  <r>
    <x v="328"/>
    <n v="12"/>
    <x v="0"/>
    <x v="5"/>
    <x v="206"/>
    <s v="Allergy"/>
    <x v="325"/>
    <x v="22"/>
    <n v="0"/>
    <x v="10"/>
  </r>
  <r>
    <x v="329"/>
    <n v="47"/>
    <x v="1"/>
    <x v="0"/>
    <x v="266"/>
    <s v="Diabetes"/>
    <x v="326"/>
    <x v="23"/>
    <n v="4"/>
    <x v="6"/>
  </r>
  <r>
    <x v="330"/>
    <n v="46"/>
    <x v="1"/>
    <x v="3"/>
    <x v="267"/>
    <s v="Infection"/>
    <x v="327"/>
    <x v="27"/>
    <n v="2"/>
    <x v="16"/>
  </r>
  <r>
    <x v="331"/>
    <n v="68"/>
    <x v="0"/>
    <x v="3"/>
    <x v="268"/>
    <s v="Migraine"/>
    <x v="328"/>
    <x v="25"/>
    <n v="1"/>
    <x v="2"/>
  </r>
  <r>
    <x v="332"/>
    <n v="30"/>
    <x v="1"/>
    <x v="3"/>
    <x v="269"/>
    <s v="Diabetes"/>
    <x v="329"/>
    <x v="59"/>
    <n v="0"/>
    <x v="5"/>
  </r>
  <r>
    <x v="333"/>
    <n v="15"/>
    <x v="0"/>
    <x v="2"/>
    <x v="270"/>
    <s v="Infection"/>
    <x v="330"/>
    <x v="9"/>
    <n v="1"/>
    <x v="0"/>
  </r>
  <r>
    <x v="334"/>
    <n v="61"/>
    <x v="0"/>
    <x v="5"/>
    <x v="271"/>
    <s v="Fracture"/>
    <x v="331"/>
    <x v="55"/>
    <n v="1"/>
    <x v="14"/>
  </r>
  <r>
    <x v="335"/>
    <n v="28"/>
    <x v="1"/>
    <x v="1"/>
    <x v="272"/>
    <s v="Hypertension"/>
    <x v="332"/>
    <x v="39"/>
    <n v="5"/>
    <x v="19"/>
  </r>
  <r>
    <x v="336"/>
    <n v="57"/>
    <x v="0"/>
    <x v="0"/>
    <x v="273"/>
    <s v="Hypertension"/>
    <x v="333"/>
    <x v="12"/>
    <n v="4"/>
    <x v="1"/>
  </r>
  <r>
    <x v="337"/>
    <n v="18"/>
    <x v="0"/>
    <x v="3"/>
    <x v="274"/>
    <s v="Allergy"/>
    <x v="334"/>
    <x v="22"/>
    <n v="4"/>
    <x v="20"/>
  </r>
  <r>
    <x v="338"/>
    <n v="80"/>
    <x v="1"/>
    <x v="5"/>
    <x v="33"/>
    <s v="Hypertension"/>
    <x v="335"/>
    <x v="58"/>
    <n v="3"/>
    <x v="18"/>
  </r>
  <r>
    <x v="339"/>
    <n v="44"/>
    <x v="1"/>
    <x v="2"/>
    <x v="143"/>
    <s v="Fracture"/>
    <x v="336"/>
    <x v="5"/>
    <n v="4"/>
    <x v="2"/>
  </r>
  <r>
    <x v="340"/>
    <n v="56"/>
    <x v="1"/>
    <x v="1"/>
    <x v="275"/>
    <s v="Fracture"/>
    <x v="337"/>
    <x v="16"/>
    <n v="1"/>
    <x v="14"/>
  </r>
  <r>
    <x v="341"/>
    <n v="47"/>
    <x v="1"/>
    <x v="1"/>
    <x v="83"/>
    <s v="Hypertension"/>
    <x v="338"/>
    <x v="43"/>
    <n v="3"/>
    <x v="18"/>
  </r>
  <r>
    <x v="342"/>
    <n v="81"/>
    <x v="0"/>
    <x v="0"/>
    <x v="276"/>
    <s v="Allergy"/>
    <x v="228"/>
    <x v="19"/>
    <n v="0"/>
    <x v="10"/>
  </r>
  <r>
    <x v="343"/>
    <n v="35"/>
    <x v="1"/>
    <x v="2"/>
    <x v="277"/>
    <s v="Fracture"/>
    <x v="339"/>
    <x v="60"/>
    <n v="4"/>
    <x v="11"/>
  </r>
  <r>
    <x v="344"/>
    <n v="29"/>
    <x v="1"/>
    <x v="1"/>
    <x v="278"/>
    <s v="Migraine"/>
    <x v="29"/>
    <x v="34"/>
    <n v="5"/>
    <x v="22"/>
  </r>
  <r>
    <x v="345"/>
    <n v="34"/>
    <x v="1"/>
    <x v="0"/>
    <x v="249"/>
    <s v="Migraine"/>
    <x v="340"/>
    <x v="54"/>
    <n v="2"/>
    <x v="8"/>
  </r>
  <r>
    <x v="346"/>
    <n v="47"/>
    <x v="1"/>
    <x v="2"/>
    <x v="195"/>
    <s v="Infection"/>
    <x v="341"/>
    <x v="7"/>
    <n v="1"/>
    <x v="16"/>
  </r>
  <r>
    <x v="347"/>
    <n v="14"/>
    <x v="1"/>
    <x v="3"/>
    <x v="279"/>
    <s v="Hypertension"/>
    <x v="342"/>
    <x v="40"/>
    <n v="1"/>
    <x v="6"/>
  </r>
  <r>
    <x v="348"/>
    <n v="60"/>
    <x v="0"/>
    <x v="5"/>
    <x v="280"/>
    <s v="Migraine"/>
    <x v="343"/>
    <x v="49"/>
    <n v="4"/>
    <x v="9"/>
  </r>
  <r>
    <x v="349"/>
    <n v="16"/>
    <x v="1"/>
    <x v="0"/>
    <x v="281"/>
    <s v="Fracture"/>
    <x v="344"/>
    <x v="14"/>
    <n v="4"/>
    <x v="17"/>
  </r>
  <r>
    <x v="350"/>
    <n v="12"/>
    <x v="0"/>
    <x v="0"/>
    <x v="282"/>
    <s v="Allergy"/>
    <x v="345"/>
    <x v="42"/>
    <n v="3"/>
    <x v="0"/>
  </r>
  <r>
    <x v="351"/>
    <n v="56"/>
    <x v="0"/>
    <x v="3"/>
    <x v="160"/>
    <s v="Migraine"/>
    <x v="346"/>
    <x v="17"/>
    <n v="2"/>
    <x v="19"/>
  </r>
  <r>
    <x v="352"/>
    <n v="81"/>
    <x v="1"/>
    <x v="5"/>
    <x v="283"/>
    <s v="Hypertension"/>
    <x v="347"/>
    <x v="45"/>
    <n v="2"/>
    <x v="11"/>
  </r>
  <r>
    <x v="353"/>
    <n v="57"/>
    <x v="1"/>
    <x v="0"/>
    <x v="284"/>
    <s v="Allergy"/>
    <x v="348"/>
    <x v="43"/>
    <n v="5"/>
    <x v="16"/>
  </r>
  <r>
    <x v="354"/>
    <n v="37"/>
    <x v="0"/>
    <x v="1"/>
    <x v="69"/>
    <s v="Migraine"/>
    <x v="349"/>
    <x v="57"/>
    <n v="4"/>
    <x v="9"/>
  </r>
  <r>
    <x v="355"/>
    <n v="83"/>
    <x v="0"/>
    <x v="2"/>
    <x v="285"/>
    <s v="Diabetes"/>
    <x v="350"/>
    <x v="54"/>
    <n v="1"/>
    <x v="20"/>
  </r>
  <r>
    <x v="356"/>
    <n v="53"/>
    <x v="1"/>
    <x v="2"/>
    <x v="132"/>
    <s v="Migraine"/>
    <x v="351"/>
    <x v="55"/>
    <n v="0"/>
    <x v="3"/>
  </r>
  <r>
    <x v="357"/>
    <n v="73"/>
    <x v="0"/>
    <x v="1"/>
    <x v="286"/>
    <s v="Allergy"/>
    <x v="352"/>
    <x v="4"/>
    <n v="0"/>
    <x v="15"/>
  </r>
  <r>
    <x v="358"/>
    <n v="37"/>
    <x v="1"/>
    <x v="4"/>
    <x v="180"/>
    <s v="Infection"/>
    <x v="353"/>
    <x v="29"/>
    <n v="1"/>
    <x v="9"/>
  </r>
  <r>
    <x v="359"/>
    <n v="17"/>
    <x v="1"/>
    <x v="4"/>
    <x v="287"/>
    <s v="Hypertension"/>
    <x v="354"/>
    <x v="27"/>
    <n v="4"/>
    <x v="15"/>
  </r>
  <r>
    <x v="360"/>
    <n v="67"/>
    <x v="1"/>
    <x v="2"/>
    <x v="56"/>
    <s v="Fracture"/>
    <x v="355"/>
    <x v="36"/>
    <n v="4"/>
    <x v="8"/>
  </r>
  <r>
    <x v="361"/>
    <n v="84"/>
    <x v="0"/>
    <x v="2"/>
    <x v="288"/>
    <s v="Hypertension"/>
    <x v="356"/>
    <x v="59"/>
    <n v="0"/>
    <x v="20"/>
  </r>
  <r>
    <x v="362"/>
    <n v="6"/>
    <x v="0"/>
    <x v="5"/>
    <x v="289"/>
    <s v="Fracture"/>
    <x v="357"/>
    <x v="51"/>
    <n v="5"/>
    <x v="0"/>
  </r>
  <r>
    <x v="363"/>
    <n v="4"/>
    <x v="1"/>
    <x v="1"/>
    <x v="290"/>
    <s v="Migraine"/>
    <x v="358"/>
    <x v="22"/>
    <n v="5"/>
    <x v="18"/>
  </r>
  <r>
    <x v="364"/>
    <n v="4"/>
    <x v="0"/>
    <x v="5"/>
    <x v="291"/>
    <s v="Migraine"/>
    <x v="359"/>
    <x v="39"/>
    <n v="1"/>
    <x v="20"/>
  </r>
  <r>
    <x v="365"/>
    <n v="67"/>
    <x v="0"/>
    <x v="5"/>
    <x v="179"/>
    <s v="Allergy"/>
    <x v="360"/>
    <x v="25"/>
    <n v="4"/>
    <x v="1"/>
  </r>
  <r>
    <x v="366"/>
    <n v="38"/>
    <x v="1"/>
    <x v="2"/>
    <x v="144"/>
    <s v="Migraine"/>
    <x v="361"/>
    <x v="20"/>
    <n v="5"/>
    <x v="12"/>
  </r>
  <r>
    <x v="367"/>
    <n v="11"/>
    <x v="1"/>
    <x v="3"/>
    <x v="292"/>
    <s v="Allergy"/>
    <x v="362"/>
    <x v="60"/>
    <n v="4"/>
    <x v="15"/>
  </r>
  <r>
    <x v="368"/>
    <n v="87"/>
    <x v="1"/>
    <x v="4"/>
    <x v="161"/>
    <s v="Diabetes"/>
    <x v="363"/>
    <x v="45"/>
    <n v="2"/>
    <x v="0"/>
  </r>
  <r>
    <x v="369"/>
    <n v="66"/>
    <x v="0"/>
    <x v="1"/>
    <x v="293"/>
    <s v="Fracture"/>
    <x v="364"/>
    <x v="56"/>
    <n v="2"/>
    <x v="4"/>
  </r>
  <r>
    <x v="370"/>
    <n v="41"/>
    <x v="0"/>
    <x v="5"/>
    <x v="294"/>
    <s v="Infection"/>
    <x v="365"/>
    <x v="57"/>
    <n v="5"/>
    <x v="5"/>
  </r>
  <r>
    <x v="371"/>
    <n v="2"/>
    <x v="1"/>
    <x v="5"/>
    <x v="195"/>
    <s v="Diabetes"/>
    <x v="366"/>
    <x v="1"/>
    <n v="2"/>
    <x v="16"/>
  </r>
  <r>
    <x v="372"/>
    <n v="25"/>
    <x v="1"/>
    <x v="5"/>
    <x v="295"/>
    <s v="Diabetes"/>
    <x v="367"/>
    <x v="39"/>
    <n v="0"/>
    <x v="9"/>
  </r>
  <r>
    <x v="373"/>
    <n v="64"/>
    <x v="0"/>
    <x v="4"/>
    <x v="190"/>
    <s v="Migraine"/>
    <x v="368"/>
    <x v="10"/>
    <n v="4"/>
    <x v="4"/>
  </r>
  <r>
    <x v="374"/>
    <n v="75"/>
    <x v="0"/>
    <x v="4"/>
    <x v="238"/>
    <s v="Infection"/>
    <x v="369"/>
    <x v="56"/>
    <n v="4"/>
    <x v="22"/>
  </r>
  <r>
    <x v="375"/>
    <n v="20"/>
    <x v="0"/>
    <x v="3"/>
    <x v="54"/>
    <s v="Migraine"/>
    <x v="370"/>
    <x v="26"/>
    <n v="0"/>
    <x v="15"/>
  </r>
  <r>
    <x v="376"/>
    <n v="6"/>
    <x v="1"/>
    <x v="0"/>
    <x v="296"/>
    <s v="Allergy"/>
    <x v="371"/>
    <x v="12"/>
    <n v="3"/>
    <x v="17"/>
  </r>
  <r>
    <x v="377"/>
    <n v="77"/>
    <x v="0"/>
    <x v="1"/>
    <x v="297"/>
    <s v="Diabetes"/>
    <x v="372"/>
    <x v="1"/>
    <n v="4"/>
    <x v="3"/>
  </r>
  <r>
    <x v="378"/>
    <n v="5"/>
    <x v="1"/>
    <x v="5"/>
    <x v="220"/>
    <s v="Allergy"/>
    <x v="373"/>
    <x v="48"/>
    <n v="5"/>
    <x v="4"/>
  </r>
  <r>
    <x v="379"/>
    <n v="90"/>
    <x v="1"/>
    <x v="5"/>
    <x v="74"/>
    <s v="Migraine"/>
    <x v="374"/>
    <x v="5"/>
    <n v="5"/>
    <x v="19"/>
  </r>
  <r>
    <x v="380"/>
    <n v="61"/>
    <x v="0"/>
    <x v="4"/>
    <x v="298"/>
    <s v="Hypertension"/>
    <x v="375"/>
    <x v="9"/>
    <n v="0"/>
    <x v="3"/>
  </r>
  <r>
    <x v="381"/>
    <n v="59"/>
    <x v="0"/>
    <x v="1"/>
    <x v="299"/>
    <s v="Allergy"/>
    <x v="376"/>
    <x v="35"/>
    <n v="4"/>
    <x v="7"/>
  </r>
  <r>
    <x v="382"/>
    <n v="73"/>
    <x v="0"/>
    <x v="2"/>
    <x v="300"/>
    <s v="Allergy"/>
    <x v="377"/>
    <x v="38"/>
    <n v="2"/>
    <x v="22"/>
  </r>
  <r>
    <x v="383"/>
    <n v="73"/>
    <x v="1"/>
    <x v="2"/>
    <x v="301"/>
    <s v="Migraine"/>
    <x v="378"/>
    <x v="44"/>
    <n v="5"/>
    <x v="18"/>
  </r>
  <r>
    <x v="384"/>
    <n v="54"/>
    <x v="0"/>
    <x v="1"/>
    <x v="302"/>
    <s v="Migraine"/>
    <x v="379"/>
    <x v="59"/>
    <n v="2"/>
    <x v="17"/>
  </r>
  <r>
    <x v="385"/>
    <n v="34"/>
    <x v="0"/>
    <x v="4"/>
    <x v="303"/>
    <s v="Allergy"/>
    <x v="380"/>
    <x v="18"/>
    <n v="0"/>
    <x v="18"/>
  </r>
  <r>
    <x v="386"/>
    <n v="9"/>
    <x v="1"/>
    <x v="2"/>
    <x v="30"/>
    <s v="Diabetes"/>
    <x v="381"/>
    <x v="2"/>
    <n v="4"/>
    <x v="9"/>
  </r>
  <r>
    <x v="387"/>
    <n v="44"/>
    <x v="0"/>
    <x v="4"/>
    <x v="101"/>
    <s v="Allergy"/>
    <x v="382"/>
    <x v="51"/>
    <n v="3"/>
    <x v="15"/>
  </r>
  <r>
    <x v="388"/>
    <n v="83"/>
    <x v="0"/>
    <x v="1"/>
    <x v="304"/>
    <s v="Diabetes"/>
    <x v="383"/>
    <x v="27"/>
    <n v="0"/>
    <x v="10"/>
  </r>
  <r>
    <x v="389"/>
    <n v="48"/>
    <x v="1"/>
    <x v="0"/>
    <x v="167"/>
    <s v="Fracture"/>
    <x v="384"/>
    <x v="35"/>
    <n v="1"/>
    <x v="13"/>
  </r>
  <r>
    <x v="390"/>
    <n v="49"/>
    <x v="0"/>
    <x v="1"/>
    <x v="167"/>
    <s v="Migraine"/>
    <x v="385"/>
    <x v="34"/>
    <n v="1"/>
    <x v="13"/>
  </r>
  <r>
    <x v="391"/>
    <n v="7"/>
    <x v="1"/>
    <x v="0"/>
    <x v="177"/>
    <s v="Migraine"/>
    <x v="386"/>
    <x v="24"/>
    <n v="1"/>
    <x v="10"/>
  </r>
  <r>
    <x v="392"/>
    <n v="26"/>
    <x v="1"/>
    <x v="2"/>
    <x v="164"/>
    <s v="Allergy"/>
    <x v="387"/>
    <x v="50"/>
    <n v="4"/>
    <x v="13"/>
  </r>
  <r>
    <x v="393"/>
    <n v="42"/>
    <x v="1"/>
    <x v="2"/>
    <x v="305"/>
    <s v="Fracture"/>
    <x v="388"/>
    <x v="46"/>
    <n v="0"/>
    <x v="15"/>
  </r>
  <r>
    <x v="394"/>
    <n v="60"/>
    <x v="0"/>
    <x v="5"/>
    <x v="306"/>
    <s v="Hypertension"/>
    <x v="389"/>
    <x v="48"/>
    <n v="4"/>
    <x v="15"/>
  </r>
  <r>
    <x v="395"/>
    <n v="6"/>
    <x v="1"/>
    <x v="4"/>
    <x v="307"/>
    <s v="Hypertension"/>
    <x v="390"/>
    <x v="5"/>
    <n v="0"/>
    <x v="20"/>
  </r>
  <r>
    <x v="396"/>
    <n v="19"/>
    <x v="0"/>
    <x v="5"/>
    <x v="308"/>
    <s v="Migraine"/>
    <x v="391"/>
    <x v="13"/>
    <n v="3"/>
    <x v="6"/>
  </r>
  <r>
    <x v="397"/>
    <n v="69"/>
    <x v="1"/>
    <x v="5"/>
    <x v="309"/>
    <s v="Hypertension"/>
    <x v="392"/>
    <x v="8"/>
    <n v="3"/>
    <x v="15"/>
  </r>
  <r>
    <x v="398"/>
    <n v="38"/>
    <x v="1"/>
    <x v="4"/>
    <x v="310"/>
    <s v="Diabetes"/>
    <x v="393"/>
    <x v="14"/>
    <n v="0"/>
    <x v="1"/>
  </r>
  <r>
    <x v="399"/>
    <n v="34"/>
    <x v="1"/>
    <x v="4"/>
    <x v="311"/>
    <s v="Hypertension"/>
    <x v="394"/>
    <x v="33"/>
    <n v="3"/>
    <x v="22"/>
  </r>
  <r>
    <x v="400"/>
    <n v="56"/>
    <x v="0"/>
    <x v="4"/>
    <x v="312"/>
    <s v="Infection"/>
    <x v="395"/>
    <x v="32"/>
    <n v="3"/>
    <x v="13"/>
  </r>
  <r>
    <x v="401"/>
    <n v="84"/>
    <x v="1"/>
    <x v="0"/>
    <x v="313"/>
    <s v="Diabetes"/>
    <x v="396"/>
    <x v="19"/>
    <n v="1"/>
    <x v="7"/>
  </r>
  <r>
    <x v="402"/>
    <n v="18"/>
    <x v="1"/>
    <x v="3"/>
    <x v="314"/>
    <s v="Migraine"/>
    <x v="397"/>
    <x v="20"/>
    <n v="4"/>
    <x v="0"/>
  </r>
  <r>
    <x v="403"/>
    <n v="19"/>
    <x v="0"/>
    <x v="3"/>
    <x v="315"/>
    <s v="Migraine"/>
    <x v="398"/>
    <x v="34"/>
    <n v="3"/>
    <x v="12"/>
  </r>
  <r>
    <x v="404"/>
    <n v="11"/>
    <x v="1"/>
    <x v="0"/>
    <x v="316"/>
    <s v="Allergy"/>
    <x v="399"/>
    <x v="24"/>
    <n v="1"/>
    <x v="4"/>
  </r>
  <r>
    <x v="405"/>
    <n v="77"/>
    <x v="1"/>
    <x v="3"/>
    <x v="317"/>
    <s v="Diabetes"/>
    <x v="400"/>
    <x v="17"/>
    <n v="4"/>
    <x v="4"/>
  </r>
  <r>
    <x v="406"/>
    <n v="87"/>
    <x v="1"/>
    <x v="4"/>
    <x v="318"/>
    <s v="Hypertension"/>
    <x v="401"/>
    <x v="26"/>
    <n v="0"/>
    <x v="16"/>
  </r>
  <r>
    <x v="407"/>
    <n v="86"/>
    <x v="0"/>
    <x v="3"/>
    <x v="252"/>
    <s v="Fracture"/>
    <x v="402"/>
    <x v="58"/>
    <n v="4"/>
    <x v="5"/>
  </r>
  <r>
    <x v="408"/>
    <n v="67"/>
    <x v="0"/>
    <x v="3"/>
    <x v="192"/>
    <s v="Infection"/>
    <x v="403"/>
    <x v="25"/>
    <n v="3"/>
    <x v="14"/>
  </r>
  <r>
    <x v="409"/>
    <n v="72"/>
    <x v="0"/>
    <x v="0"/>
    <x v="319"/>
    <s v="Allergy"/>
    <x v="404"/>
    <x v="56"/>
    <n v="2"/>
    <x v="11"/>
  </r>
  <r>
    <x v="410"/>
    <n v="43"/>
    <x v="0"/>
    <x v="0"/>
    <x v="84"/>
    <s v="Diabetes"/>
    <x v="405"/>
    <x v="57"/>
    <n v="0"/>
    <x v="19"/>
  </r>
  <r>
    <x v="411"/>
    <n v="36"/>
    <x v="1"/>
    <x v="5"/>
    <x v="320"/>
    <s v="Migraine"/>
    <x v="406"/>
    <x v="38"/>
    <n v="4"/>
    <x v="3"/>
  </r>
  <r>
    <x v="412"/>
    <n v="4"/>
    <x v="0"/>
    <x v="4"/>
    <x v="245"/>
    <s v="Fracture"/>
    <x v="407"/>
    <x v="54"/>
    <n v="4"/>
    <x v="12"/>
  </r>
  <r>
    <x v="413"/>
    <n v="60"/>
    <x v="0"/>
    <x v="2"/>
    <x v="77"/>
    <s v="Migraine"/>
    <x v="408"/>
    <x v="33"/>
    <n v="0"/>
    <x v="17"/>
  </r>
  <r>
    <x v="414"/>
    <n v="20"/>
    <x v="1"/>
    <x v="5"/>
    <x v="321"/>
    <s v="Diabetes"/>
    <x v="409"/>
    <x v="34"/>
    <n v="2"/>
    <x v="17"/>
  </r>
  <r>
    <x v="415"/>
    <n v="83"/>
    <x v="1"/>
    <x v="1"/>
    <x v="82"/>
    <s v="Fracture"/>
    <x v="410"/>
    <x v="16"/>
    <n v="0"/>
    <x v="22"/>
  </r>
  <r>
    <x v="416"/>
    <n v="40"/>
    <x v="1"/>
    <x v="1"/>
    <x v="322"/>
    <s v="Allergy"/>
    <x v="411"/>
    <x v="41"/>
    <n v="0"/>
    <x v="4"/>
  </r>
  <r>
    <x v="417"/>
    <n v="30"/>
    <x v="1"/>
    <x v="3"/>
    <x v="96"/>
    <s v="Diabetes"/>
    <x v="412"/>
    <x v="37"/>
    <n v="4"/>
    <x v="16"/>
  </r>
  <r>
    <x v="418"/>
    <n v="70"/>
    <x v="1"/>
    <x v="3"/>
    <x v="309"/>
    <s v="Infection"/>
    <x v="413"/>
    <x v="48"/>
    <n v="5"/>
    <x v="15"/>
  </r>
  <r>
    <x v="419"/>
    <n v="49"/>
    <x v="0"/>
    <x v="2"/>
    <x v="323"/>
    <s v="Infection"/>
    <x v="414"/>
    <x v="45"/>
    <n v="3"/>
    <x v="22"/>
  </r>
  <r>
    <x v="420"/>
    <n v="25"/>
    <x v="1"/>
    <x v="5"/>
    <x v="0"/>
    <s v="Allergy"/>
    <x v="415"/>
    <x v="15"/>
    <n v="3"/>
    <x v="0"/>
  </r>
  <r>
    <x v="421"/>
    <n v="60"/>
    <x v="0"/>
    <x v="4"/>
    <x v="324"/>
    <s v="Fracture"/>
    <x v="416"/>
    <x v="12"/>
    <n v="2"/>
    <x v="10"/>
  </r>
  <r>
    <x v="422"/>
    <n v="33"/>
    <x v="1"/>
    <x v="3"/>
    <x v="325"/>
    <s v="Infection"/>
    <x v="417"/>
    <x v="40"/>
    <n v="4"/>
    <x v="15"/>
  </r>
  <r>
    <x v="423"/>
    <n v="41"/>
    <x v="1"/>
    <x v="3"/>
    <x v="326"/>
    <s v="Hypertension"/>
    <x v="418"/>
    <x v="9"/>
    <n v="0"/>
    <x v="6"/>
  </r>
  <r>
    <x v="424"/>
    <n v="72"/>
    <x v="0"/>
    <x v="2"/>
    <x v="327"/>
    <s v="Fracture"/>
    <x v="419"/>
    <x v="25"/>
    <n v="0"/>
    <x v="19"/>
  </r>
  <r>
    <x v="425"/>
    <n v="84"/>
    <x v="0"/>
    <x v="3"/>
    <x v="27"/>
    <s v="Hypertension"/>
    <x v="420"/>
    <x v="54"/>
    <n v="3"/>
    <x v="6"/>
  </r>
  <r>
    <x v="426"/>
    <n v="40"/>
    <x v="1"/>
    <x v="0"/>
    <x v="328"/>
    <s v="Migraine"/>
    <x v="421"/>
    <x v="29"/>
    <n v="3"/>
    <x v="10"/>
  </r>
  <r>
    <x v="427"/>
    <n v="59"/>
    <x v="0"/>
    <x v="5"/>
    <x v="101"/>
    <s v="Allergy"/>
    <x v="422"/>
    <x v="14"/>
    <n v="3"/>
    <x v="15"/>
  </r>
  <r>
    <x v="428"/>
    <n v="72"/>
    <x v="0"/>
    <x v="5"/>
    <x v="329"/>
    <s v="Migraine"/>
    <x v="423"/>
    <x v="38"/>
    <n v="0"/>
    <x v="20"/>
  </r>
  <r>
    <x v="429"/>
    <n v="10"/>
    <x v="0"/>
    <x v="1"/>
    <x v="330"/>
    <s v="Hypertension"/>
    <x v="424"/>
    <x v="27"/>
    <n v="3"/>
    <x v="20"/>
  </r>
  <r>
    <x v="430"/>
    <n v="29"/>
    <x v="1"/>
    <x v="4"/>
    <x v="331"/>
    <s v="Hypertension"/>
    <x v="425"/>
    <x v="39"/>
    <n v="5"/>
    <x v="20"/>
  </r>
  <r>
    <x v="431"/>
    <n v="66"/>
    <x v="1"/>
    <x v="1"/>
    <x v="332"/>
    <s v="Hypertension"/>
    <x v="426"/>
    <x v="39"/>
    <n v="3"/>
    <x v="18"/>
  </r>
  <r>
    <x v="432"/>
    <n v="43"/>
    <x v="0"/>
    <x v="4"/>
    <x v="333"/>
    <s v="Allergy"/>
    <x v="427"/>
    <x v="31"/>
    <n v="2"/>
    <x v="17"/>
  </r>
  <r>
    <x v="433"/>
    <n v="30"/>
    <x v="0"/>
    <x v="0"/>
    <x v="334"/>
    <s v="Fracture"/>
    <x v="428"/>
    <x v="50"/>
    <n v="5"/>
    <x v="14"/>
  </r>
  <r>
    <x v="434"/>
    <n v="14"/>
    <x v="1"/>
    <x v="0"/>
    <x v="105"/>
    <s v="Diabetes"/>
    <x v="429"/>
    <x v="59"/>
    <n v="1"/>
    <x v="12"/>
  </r>
  <r>
    <x v="435"/>
    <n v="83"/>
    <x v="1"/>
    <x v="1"/>
    <x v="232"/>
    <s v="Infection"/>
    <x v="430"/>
    <x v="8"/>
    <n v="5"/>
    <x v="1"/>
  </r>
  <r>
    <x v="436"/>
    <n v="48"/>
    <x v="1"/>
    <x v="0"/>
    <x v="227"/>
    <s v="Allergy"/>
    <x v="431"/>
    <x v="22"/>
    <n v="3"/>
    <x v="12"/>
  </r>
  <r>
    <x v="437"/>
    <n v="12"/>
    <x v="0"/>
    <x v="3"/>
    <x v="93"/>
    <s v="Infection"/>
    <x v="432"/>
    <x v="51"/>
    <n v="3"/>
    <x v="14"/>
  </r>
  <r>
    <x v="438"/>
    <n v="2"/>
    <x v="1"/>
    <x v="1"/>
    <x v="335"/>
    <s v="Hypertension"/>
    <x v="433"/>
    <x v="43"/>
    <n v="3"/>
    <x v="22"/>
  </r>
  <r>
    <x v="439"/>
    <n v="6"/>
    <x v="1"/>
    <x v="5"/>
    <x v="105"/>
    <s v="Hypertension"/>
    <x v="434"/>
    <x v="11"/>
    <n v="2"/>
    <x v="12"/>
  </r>
  <r>
    <x v="440"/>
    <n v="16"/>
    <x v="0"/>
    <x v="5"/>
    <x v="227"/>
    <s v="Migraine"/>
    <x v="435"/>
    <x v="34"/>
    <n v="0"/>
    <x v="12"/>
  </r>
  <r>
    <x v="441"/>
    <n v="16"/>
    <x v="1"/>
    <x v="2"/>
    <x v="336"/>
    <s v="Hypertension"/>
    <x v="436"/>
    <x v="50"/>
    <n v="0"/>
    <x v="2"/>
  </r>
  <r>
    <x v="442"/>
    <n v="13"/>
    <x v="0"/>
    <x v="3"/>
    <x v="212"/>
    <s v="Hypertension"/>
    <x v="437"/>
    <x v="28"/>
    <n v="4"/>
    <x v="19"/>
  </r>
  <r>
    <x v="443"/>
    <n v="10"/>
    <x v="1"/>
    <x v="2"/>
    <x v="337"/>
    <s v="Diabetes"/>
    <x v="438"/>
    <x v="46"/>
    <n v="4"/>
    <x v="1"/>
  </r>
  <r>
    <x v="444"/>
    <n v="41"/>
    <x v="1"/>
    <x v="1"/>
    <x v="338"/>
    <s v="Fracture"/>
    <x v="439"/>
    <x v="29"/>
    <n v="1"/>
    <x v="12"/>
  </r>
  <r>
    <x v="445"/>
    <n v="72"/>
    <x v="0"/>
    <x v="4"/>
    <x v="339"/>
    <s v="Allergy"/>
    <x v="440"/>
    <x v="57"/>
    <n v="5"/>
    <x v="13"/>
  </r>
  <r>
    <x v="446"/>
    <n v="28"/>
    <x v="1"/>
    <x v="5"/>
    <x v="340"/>
    <s v="Fracture"/>
    <x v="441"/>
    <x v="32"/>
    <n v="1"/>
    <x v="15"/>
  </r>
  <r>
    <x v="447"/>
    <n v="51"/>
    <x v="1"/>
    <x v="1"/>
    <x v="46"/>
    <s v="Infection"/>
    <x v="442"/>
    <x v="19"/>
    <n v="0"/>
    <x v="13"/>
  </r>
  <r>
    <x v="448"/>
    <n v="31"/>
    <x v="1"/>
    <x v="4"/>
    <x v="341"/>
    <s v="Hypertension"/>
    <x v="443"/>
    <x v="53"/>
    <n v="2"/>
    <x v="21"/>
  </r>
  <r>
    <x v="449"/>
    <n v="79"/>
    <x v="1"/>
    <x v="0"/>
    <x v="82"/>
    <s v="Infection"/>
    <x v="444"/>
    <x v="6"/>
    <n v="2"/>
    <x v="22"/>
  </r>
  <r>
    <x v="450"/>
    <n v="58"/>
    <x v="0"/>
    <x v="2"/>
    <x v="22"/>
    <s v="Hypertension"/>
    <x v="445"/>
    <x v="13"/>
    <n v="2"/>
    <x v="8"/>
  </r>
  <r>
    <x v="451"/>
    <n v="20"/>
    <x v="0"/>
    <x v="5"/>
    <x v="342"/>
    <s v="Allergy"/>
    <x v="446"/>
    <x v="52"/>
    <n v="1"/>
    <x v="2"/>
  </r>
  <r>
    <x v="452"/>
    <n v="88"/>
    <x v="0"/>
    <x v="2"/>
    <x v="93"/>
    <s v="Migraine"/>
    <x v="447"/>
    <x v="17"/>
    <n v="0"/>
    <x v="14"/>
  </r>
  <r>
    <x v="453"/>
    <n v="18"/>
    <x v="1"/>
    <x v="0"/>
    <x v="319"/>
    <s v="Allergy"/>
    <x v="448"/>
    <x v="25"/>
    <n v="1"/>
    <x v="11"/>
  </r>
  <r>
    <x v="454"/>
    <n v="30"/>
    <x v="0"/>
    <x v="5"/>
    <x v="306"/>
    <s v="Allergy"/>
    <x v="449"/>
    <x v="24"/>
    <n v="2"/>
    <x v="15"/>
  </r>
  <r>
    <x v="455"/>
    <n v="61"/>
    <x v="0"/>
    <x v="1"/>
    <x v="0"/>
    <s v="Allergy"/>
    <x v="450"/>
    <x v="38"/>
    <n v="5"/>
    <x v="0"/>
  </r>
  <r>
    <x v="456"/>
    <n v="89"/>
    <x v="0"/>
    <x v="3"/>
    <x v="343"/>
    <s v="Fracture"/>
    <x v="451"/>
    <x v="60"/>
    <n v="2"/>
    <x v="20"/>
  </r>
  <r>
    <x v="457"/>
    <n v="69"/>
    <x v="1"/>
    <x v="1"/>
    <x v="344"/>
    <s v="Hypertension"/>
    <x v="452"/>
    <x v="1"/>
    <n v="5"/>
    <x v="16"/>
  </r>
  <r>
    <x v="458"/>
    <n v="55"/>
    <x v="1"/>
    <x v="4"/>
    <x v="345"/>
    <s v="Fracture"/>
    <x v="453"/>
    <x v="50"/>
    <n v="5"/>
    <x v="11"/>
  </r>
  <r>
    <x v="459"/>
    <n v="38"/>
    <x v="1"/>
    <x v="2"/>
    <x v="251"/>
    <s v="Migraine"/>
    <x v="454"/>
    <x v="4"/>
    <n v="1"/>
    <x v="14"/>
  </r>
  <r>
    <x v="460"/>
    <n v="29"/>
    <x v="0"/>
    <x v="1"/>
    <x v="346"/>
    <s v="Allergy"/>
    <x v="455"/>
    <x v="52"/>
    <n v="3"/>
    <x v="4"/>
  </r>
  <r>
    <x v="461"/>
    <n v="65"/>
    <x v="1"/>
    <x v="5"/>
    <x v="347"/>
    <s v="Diabetes"/>
    <x v="456"/>
    <x v="50"/>
    <n v="4"/>
    <x v="0"/>
  </r>
  <r>
    <x v="462"/>
    <n v="83"/>
    <x v="0"/>
    <x v="1"/>
    <x v="313"/>
    <s v="Fracture"/>
    <x v="457"/>
    <x v="9"/>
    <n v="1"/>
    <x v="7"/>
  </r>
  <r>
    <x v="463"/>
    <n v="82"/>
    <x v="1"/>
    <x v="3"/>
    <x v="141"/>
    <s v="Diabetes"/>
    <x v="458"/>
    <x v="16"/>
    <n v="5"/>
    <x v="8"/>
  </r>
  <r>
    <x v="464"/>
    <n v="4"/>
    <x v="1"/>
    <x v="5"/>
    <x v="288"/>
    <s v="Migraine"/>
    <x v="459"/>
    <x v="5"/>
    <n v="3"/>
    <x v="20"/>
  </r>
  <r>
    <x v="465"/>
    <n v="48"/>
    <x v="1"/>
    <x v="1"/>
    <x v="274"/>
    <s v="Fracture"/>
    <x v="460"/>
    <x v="45"/>
    <n v="2"/>
    <x v="20"/>
  </r>
  <r>
    <x v="466"/>
    <n v="42"/>
    <x v="0"/>
    <x v="5"/>
    <x v="348"/>
    <s v="Infection"/>
    <x v="461"/>
    <x v="24"/>
    <n v="3"/>
    <x v="20"/>
  </r>
  <r>
    <x v="467"/>
    <n v="44"/>
    <x v="0"/>
    <x v="1"/>
    <x v="349"/>
    <s v="Fracture"/>
    <x v="462"/>
    <x v="13"/>
    <n v="2"/>
    <x v="5"/>
  </r>
  <r>
    <x v="468"/>
    <n v="9"/>
    <x v="0"/>
    <x v="1"/>
    <x v="140"/>
    <s v="Fracture"/>
    <x v="463"/>
    <x v="56"/>
    <n v="4"/>
    <x v="21"/>
  </r>
  <r>
    <x v="469"/>
    <n v="23"/>
    <x v="0"/>
    <x v="2"/>
    <x v="111"/>
    <s v="Fracture"/>
    <x v="464"/>
    <x v="50"/>
    <n v="3"/>
    <x v="21"/>
  </r>
  <r>
    <x v="470"/>
    <n v="29"/>
    <x v="0"/>
    <x v="0"/>
    <x v="120"/>
    <s v="Hypertension"/>
    <x v="465"/>
    <x v="0"/>
    <n v="2"/>
    <x v="19"/>
  </r>
  <r>
    <x v="471"/>
    <n v="21"/>
    <x v="1"/>
    <x v="1"/>
    <x v="111"/>
    <s v="Allergy"/>
    <x v="466"/>
    <x v="55"/>
    <n v="0"/>
    <x v="21"/>
  </r>
  <r>
    <x v="472"/>
    <n v="63"/>
    <x v="1"/>
    <x v="4"/>
    <x v="350"/>
    <s v="Migraine"/>
    <x v="467"/>
    <x v="23"/>
    <n v="2"/>
    <x v="11"/>
  </r>
  <r>
    <x v="473"/>
    <n v="4"/>
    <x v="0"/>
    <x v="1"/>
    <x v="291"/>
    <s v="Infection"/>
    <x v="468"/>
    <x v="33"/>
    <n v="3"/>
    <x v="20"/>
  </r>
  <r>
    <x v="474"/>
    <n v="53"/>
    <x v="0"/>
    <x v="2"/>
    <x v="51"/>
    <s v="Infection"/>
    <x v="469"/>
    <x v="55"/>
    <n v="1"/>
    <x v="9"/>
  </r>
  <r>
    <x v="475"/>
    <n v="86"/>
    <x v="1"/>
    <x v="2"/>
    <x v="129"/>
    <s v="Hypertension"/>
    <x v="470"/>
    <x v="48"/>
    <n v="2"/>
    <x v="0"/>
  </r>
  <r>
    <x v="476"/>
    <n v="31"/>
    <x v="0"/>
    <x v="5"/>
    <x v="145"/>
    <s v="Fracture"/>
    <x v="471"/>
    <x v="20"/>
    <n v="2"/>
    <x v="20"/>
  </r>
  <r>
    <x v="477"/>
    <n v="13"/>
    <x v="1"/>
    <x v="1"/>
    <x v="351"/>
    <s v="Infection"/>
    <x v="472"/>
    <x v="58"/>
    <n v="4"/>
    <x v="8"/>
  </r>
  <r>
    <x v="478"/>
    <n v="9"/>
    <x v="0"/>
    <x v="2"/>
    <x v="352"/>
    <s v="Hypertension"/>
    <x v="473"/>
    <x v="31"/>
    <n v="3"/>
    <x v="7"/>
  </r>
  <r>
    <x v="479"/>
    <n v="45"/>
    <x v="0"/>
    <x v="1"/>
    <x v="353"/>
    <s v="Migraine"/>
    <x v="474"/>
    <x v="50"/>
    <n v="0"/>
    <x v="15"/>
  </r>
  <r>
    <x v="480"/>
    <n v="4"/>
    <x v="0"/>
    <x v="1"/>
    <x v="354"/>
    <s v="Diabetes"/>
    <x v="475"/>
    <x v="17"/>
    <n v="5"/>
    <x v="3"/>
  </r>
  <r>
    <x v="481"/>
    <n v="60"/>
    <x v="1"/>
    <x v="5"/>
    <x v="355"/>
    <s v="Migraine"/>
    <x v="476"/>
    <x v="57"/>
    <n v="0"/>
    <x v="15"/>
  </r>
  <r>
    <x v="482"/>
    <n v="9"/>
    <x v="0"/>
    <x v="5"/>
    <x v="339"/>
    <s v="Allergy"/>
    <x v="477"/>
    <x v="46"/>
    <n v="1"/>
    <x v="13"/>
  </r>
  <r>
    <x v="483"/>
    <n v="59"/>
    <x v="0"/>
    <x v="1"/>
    <x v="356"/>
    <s v="Migraine"/>
    <x v="478"/>
    <x v="48"/>
    <n v="4"/>
    <x v="16"/>
  </r>
  <r>
    <x v="484"/>
    <n v="42"/>
    <x v="0"/>
    <x v="4"/>
    <x v="98"/>
    <s v="Migraine"/>
    <x v="479"/>
    <x v="7"/>
    <n v="3"/>
    <x v="12"/>
  </r>
  <r>
    <x v="485"/>
    <n v="60"/>
    <x v="0"/>
    <x v="1"/>
    <x v="3"/>
    <s v="Allergy"/>
    <x v="127"/>
    <x v="3"/>
    <n v="1"/>
    <x v="3"/>
  </r>
  <r>
    <x v="486"/>
    <n v="84"/>
    <x v="0"/>
    <x v="4"/>
    <x v="188"/>
    <s v="Allergy"/>
    <x v="480"/>
    <x v="35"/>
    <n v="2"/>
    <x v="10"/>
  </r>
  <r>
    <x v="487"/>
    <n v="63"/>
    <x v="1"/>
    <x v="2"/>
    <x v="357"/>
    <s v="Diabetes"/>
    <x v="481"/>
    <x v="21"/>
    <n v="3"/>
    <x v="18"/>
  </r>
  <r>
    <x v="488"/>
    <n v="17"/>
    <x v="1"/>
    <x v="5"/>
    <x v="206"/>
    <s v="Diabetes"/>
    <x v="482"/>
    <x v="36"/>
    <n v="1"/>
    <x v="10"/>
  </r>
  <r>
    <x v="489"/>
    <n v="8"/>
    <x v="1"/>
    <x v="2"/>
    <x v="358"/>
    <s v="Migraine"/>
    <x v="483"/>
    <x v="37"/>
    <n v="1"/>
    <x v="23"/>
  </r>
  <r>
    <x v="490"/>
    <n v="45"/>
    <x v="1"/>
    <x v="5"/>
    <x v="63"/>
    <s v="Fracture"/>
    <x v="484"/>
    <x v="11"/>
    <n v="1"/>
    <x v="1"/>
  </r>
  <r>
    <x v="491"/>
    <n v="44"/>
    <x v="0"/>
    <x v="0"/>
    <x v="154"/>
    <s v="Hypertension"/>
    <x v="485"/>
    <x v="41"/>
    <n v="5"/>
    <x v="0"/>
  </r>
  <r>
    <x v="492"/>
    <n v="9"/>
    <x v="0"/>
    <x v="2"/>
    <x v="118"/>
    <s v="Diabetes"/>
    <x v="486"/>
    <x v="47"/>
    <n v="4"/>
    <x v="6"/>
  </r>
  <r>
    <x v="493"/>
    <n v="78"/>
    <x v="1"/>
    <x v="5"/>
    <x v="359"/>
    <s v="Hypertension"/>
    <x v="487"/>
    <x v="35"/>
    <n v="5"/>
    <x v="16"/>
  </r>
  <r>
    <x v="494"/>
    <n v="75"/>
    <x v="0"/>
    <x v="0"/>
    <x v="360"/>
    <s v="Allergy"/>
    <x v="488"/>
    <x v="15"/>
    <n v="0"/>
    <x v="15"/>
  </r>
  <r>
    <x v="495"/>
    <n v="32"/>
    <x v="0"/>
    <x v="5"/>
    <x v="361"/>
    <s v="Migraine"/>
    <x v="489"/>
    <x v="12"/>
    <n v="2"/>
    <x v="2"/>
  </r>
  <r>
    <x v="496"/>
    <n v="35"/>
    <x v="1"/>
    <x v="4"/>
    <x v="295"/>
    <s v="Allergy"/>
    <x v="490"/>
    <x v="39"/>
    <n v="2"/>
    <x v="9"/>
  </r>
  <r>
    <x v="497"/>
    <n v="25"/>
    <x v="0"/>
    <x v="1"/>
    <x v="362"/>
    <s v="Allergy"/>
    <x v="491"/>
    <x v="24"/>
    <n v="3"/>
    <x v="6"/>
  </r>
  <r>
    <x v="498"/>
    <n v="88"/>
    <x v="0"/>
    <x v="2"/>
    <x v="71"/>
    <s v="Infection"/>
    <x v="492"/>
    <x v="6"/>
    <n v="4"/>
    <x v="22"/>
  </r>
  <r>
    <x v="499"/>
    <n v="11"/>
    <x v="1"/>
    <x v="1"/>
    <x v="363"/>
    <s v="Migraine"/>
    <x v="493"/>
    <x v="38"/>
    <n v="0"/>
    <x v="21"/>
  </r>
  <r>
    <x v="500"/>
    <n v="23"/>
    <x v="0"/>
    <x v="0"/>
    <x v="316"/>
    <s v="Hypertension"/>
    <x v="494"/>
    <x v="53"/>
    <n v="1"/>
    <x v="4"/>
  </r>
  <r>
    <x v="501"/>
    <n v="50"/>
    <x v="0"/>
    <x v="0"/>
    <x v="104"/>
    <s v="Diabetes"/>
    <x v="495"/>
    <x v="28"/>
    <n v="0"/>
    <x v="0"/>
  </r>
  <r>
    <x v="502"/>
    <n v="55"/>
    <x v="0"/>
    <x v="4"/>
    <x v="257"/>
    <s v="Diabetes"/>
    <x v="496"/>
    <x v="21"/>
    <n v="4"/>
    <x v="12"/>
  </r>
  <r>
    <x v="503"/>
    <n v="68"/>
    <x v="0"/>
    <x v="5"/>
    <x v="364"/>
    <s v="Fracture"/>
    <x v="497"/>
    <x v="58"/>
    <n v="2"/>
    <x v="6"/>
  </r>
  <r>
    <x v="504"/>
    <n v="4"/>
    <x v="0"/>
    <x v="4"/>
    <x v="365"/>
    <s v="Infection"/>
    <x v="498"/>
    <x v="39"/>
    <n v="1"/>
    <x v="8"/>
  </r>
  <r>
    <x v="505"/>
    <n v="85"/>
    <x v="1"/>
    <x v="0"/>
    <x v="180"/>
    <s v="Fracture"/>
    <x v="499"/>
    <x v="0"/>
    <n v="2"/>
    <x v="9"/>
  </r>
  <r>
    <x v="506"/>
    <n v="88"/>
    <x v="1"/>
    <x v="4"/>
    <x v="366"/>
    <s v="Diabetes"/>
    <x v="500"/>
    <x v="42"/>
    <n v="1"/>
    <x v="0"/>
  </r>
  <r>
    <x v="507"/>
    <n v="56"/>
    <x v="0"/>
    <x v="0"/>
    <x v="363"/>
    <s v="Allergy"/>
    <x v="501"/>
    <x v="41"/>
    <n v="2"/>
    <x v="21"/>
  </r>
  <r>
    <x v="508"/>
    <n v="80"/>
    <x v="1"/>
    <x v="1"/>
    <x v="50"/>
    <s v="Diabetes"/>
    <x v="502"/>
    <x v="26"/>
    <n v="4"/>
    <x v="19"/>
  </r>
  <r>
    <x v="509"/>
    <n v="25"/>
    <x v="0"/>
    <x v="3"/>
    <x v="367"/>
    <s v="Diabetes"/>
    <x v="503"/>
    <x v="43"/>
    <n v="1"/>
    <x v="8"/>
  </r>
  <r>
    <x v="510"/>
    <n v="56"/>
    <x v="1"/>
    <x v="0"/>
    <x v="368"/>
    <s v="Fracture"/>
    <x v="504"/>
    <x v="52"/>
    <n v="5"/>
    <x v="8"/>
  </r>
  <r>
    <x v="511"/>
    <n v="81"/>
    <x v="1"/>
    <x v="0"/>
    <x v="369"/>
    <s v="Fracture"/>
    <x v="505"/>
    <x v="27"/>
    <n v="0"/>
    <x v="8"/>
  </r>
  <r>
    <x v="512"/>
    <n v="11"/>
    <x v="1"/>
    <x v="2"/>
    <x v="258"/>
    <s v="Hypertension"/>
    <x v="506"/>
    <x v="17"/>
    <n v="1"/>
    <x v="17"/>
  </r>
  <r>
    <x v="513"/>
    <n v="24"/>
    <x v="0"/>
    <x v="0"/>
    <x v="271"/>
    <s v="Allergy"/>
    <x v="507"/>
    <x v="17"/>
    <n v="0"/>
    <x v="14"/>
  </r>
  <r>
    <x v="514"/>
    <n v="30"/>
    <x v="0"/>
    <x v="0"/>
    <x v="370"/>
    <s v="Fracture"/>
    <x v="508"/>
    <x v="16"/>
    <n v="3"/>
    <x v="9"/>
  </r>
  <r>
    <x v="515"/>
    <n v="85"/>
    <x v="0"/>
    <x v="4"/>
    <x v="371"/>
    <s v="Hypertension"/>
    <x v="509"/>
    <x v="54"/>
    <n v="1"/>
    <x v="10"/>
  </r>
  <r>
    <x v="516"/>
    <n v="67"/>
    <x v="1"/>
    <x v="3"/>
    <x v="372"/>
    <s v="Hypertension"/>
    <x v="510"/>
    <x v="57"/>
    <n v="3"/>
    <x v="14"/>
  </r>
  <r>
    <x v="517"/>
    <n v="90"/>
    <x v="1"/>
    <x v="2"/>
    <x v="245"/>
    <s v="Migraine"/>
    <x v="511"/>
    <x v="27"/>
    <n v="2"/>
    <x v="12"/>
  </r>
  <r>
    <x v="518"/>
    <n v="43"/>
    <x v="1"/>
    <x v="0"/>
    <x v="373"/>
    <s v="Infection"/>
    <x v="512"/>
    <x v="21"/>
    <n v="4"/>
    <x v="7"/>
  </r>
  <r>
    <x v="519"/>
    <n v="32"/>
    <x v="1"/>
    <x v="0"/>
    <x v="48"/>
    <s v="Allergy"/>
    <x v="513"/>
    <x v="38"/>
    <n v="2"/>
    <x v="14"/>
  </r>
  <r>
    <x v="520"/>
    <n v="12"/>
    <x v="1"/>
    <x v="4"/>
    <x v="267"/>
    <s v="Hypertension"/>
    <x v="514"/>
    <x v="35"/>
    <n v="4"/>
    <x v="16"/>
  </r>
  <r>
    <x v="521"/>
    <n v="90"/>
    <x v="1"/>
    <x v="2"/>
    <x v="147"/>
    <s v="Allergy"/>
    <x v="515"/>
    <x v="38"/>
    <n v="0"/>
    <x v="18"/>
  </r>
  <r>
    <x v="522"/>
    <n v="84"/>
    <x v="1"/>
    <x v="0"/>
    <x v="309"/>
    <s v="Infection"/>
    <x v="516"/>
    <x v="17"/>
    <n v="5"/>
    <x v="15"/>
  </r>
  <r>
    <x v="523"/>
    <n v="70"/>
    <x v="0"/>
    <x v="2"/>
    <x v="281"/>
    <s v="Infection"/>
    <x v="517"/>
    <x v="32"/>
    <n v="2"/>
    <x v="17"/>
  </r>
  <r>
    <x v="524"/>
    <n v="46"/>
    <x v="0"/>
    <x v="2"/>
    <x v="374"/>
    <s v="Hypertension"/>
    <x v="518"/>
    <x v="52"/>
    <n v="1"/>
    <x v="4"/>
  </r>
  <r>
    <x v="525"/>
    <n v="1"/>
    <x v="1"/>
    <x v="3"/>
    <x v="375"/>
    <s v="Allergy"/>
    <x v="519"/>
    <x v="7"/>
    <n v="0"/>
    <x v="1"/>
  </r>
  <r>
    <x v="526"/>
    <n v="25"/>
    <x v="0"/>
    <x v="4"/>
    <x v="337"/>
    <s v="Diabetes"/>
    <x v="520"/>
    <x v="19"/>
    <n v="5"/>
    <x v="1"/>
  </r>
  <r>
    <x v="527"/>
    <n v="27"/>
    <x v="1"/>
    <x v="0"/>
    <x v="211"/>
    <s v="Infection"/>
    <x v="521"/>
    <x v="48"/>
    <n v="5"/>
    <x v="18"/>
  </r>
  <r>
    <x v="528"/>
    <n v="46"/>
    <x v="0"/>
    <x v="3"/>
    <x v="376"/>
    <s v="Diabetes"/>
    <x v="522"/>
    <x v="10"/>
    <n v="5"/>
    <x v="7"/>
  </r>
  <r>
    <x v="529"/>
    <n v="29"/>
    <x v="0"/>
    <x v="3"/>
    <x v="333"/>
    <s v="Infection"/>
    <x v="523"/>
    <x v="54"/>
    <n v="5"/>
    <x v="17"/>
  </r>
  <r>
    <x v="530"/>
    <n v="22"/>
    <x v="1"/>
    <x v="3"/>
    <x v="377"/>
    <s v="Fracture"/>
    <x v="524"/>
    <x v="31"/>
    <n v="4"/>
    <x v="3"/>
  </r>
  <r>
    <x v="531"/>
    <n v="70"/>
    <x v="1"/>
    <x v="4"/>
    <x v="378"/>
    <s v="Migraine"/>
    <x v="525"/>
    <x v="43"/>
    <n v="2"/>
    <x v="2"/>
  </r>
  <r>
    <x v="532"/>
    <n v="39"/>
    <x v="0"/>
    <x v="2"/>
    <x v="262"/>
    <s v="Allergy"/>
    <x v="526"/>
    <x v="29"/>
    <n v="1"/>
    <x v="18"/>
  </r>
  <r>
    <x v="533"/>
    <n v="67"/>
    <x v="1"/>
    <x v="0"/>
    <x v="379"/>
    <s v="Hypertension"/>
    <x v="527"/>
    <x v="33"/>
    <n v="0"/>
    <x v="19"/>
  </r>
  <r>
    <x v="534"/>
    <n v="84"/>
    <x v="0"/>
    <x v="1"/>
    <x v="30"/>
    <s v="Allergy"/>
    <x v="528"/>
    <x v="15"/>
    <n v="1"/>
    <x v="9"/>
  </r>
  <r>
    <x v="535"/>
    <n v="34"/>
    <x v="0"/>
    <x v="3"/>
    <x v="380"/>
    <s v="Fracture"/>
    <x v="529"/>
    <x v="5"/>
    <n v="3"/>
    <x v="19"/>
  </r>
  <r>
    <x v="536"/>
    <n v="81"/>
    <x v="0"/>
    <x v="2"/>
    <x v="381"/>
    <s v="Infection"/>
    <x v="530"/>
    <x v="2"/>
    <n v="0"/>
    <x v="21"/>
  </r>
  <r>
    <x v="537"/>
    <n v="2"/>
    <x v="0"/>
    <x v="3"/>
    <x v="78"/>
    <s v="Fracture"/>
    <x v="531"/>
    <x v="22"/>
    <n v="3"/>
    <x v="21"/>
  </r>
  <r>
    <x v="538"/>
    <n v="66"/>
    <x v="0"/>
    <x v="4"/>
    <x v="382"/>
    <s v="Infection"/>
    <x v="532"/>
    <x v="59"/>
    <n v="0"/>
    <x v="2"/>
  </r>
  <r>
    <x v="539"/>
    <n v="56"/>
    <x v="0"/>
    <x v="1"/>
    <x v="56"/>
    <s v="Diabetes"/>
    <x v="533"/>
    <x v="48"/>
    <n v="3"/>
    <x v="8"/>
  </r>
  <r>
    <x v="540"/>
    <n v="38"/>
    <x v="1"/>
    <x v="1"/>
    <x v="383"/>
    <s v="Infection"/>
    <x v="534"/>
    <x v="42"/>
    <n v="1"/>
    <x v="11"/>
  </r>
  <r>
    <x v="541"/>
    <n v="55"/>
    <x v="0"/>
    <x v="5"/>
    <x v="384"/>
    <s v="Infection"/>
    <x v="535"/>
    <x v="14"/>
    <n v="5"/>
    <x v="7"/>
  </r>
  <r>
    <x v="542"/>
    <n v="18"/>
    <x v="1"/>
    <x v="4"/>
    <x v="231"/>
    <s v="Migraine"/>
    <x v="536"/>
    <x v="5"/>
    <n v="2"/>
    <x v="4"/>
  </r>
  <r>
    <x v="543"/>
    <n v="89"/>
    <x v="1"/>
    <x v="5"/>
    <x v="236"/>
    <s v="Diabetes"/>
    <x v="537"/>
    <x v="60"/>
    <n v="2"/>
    <x v="12"/>
  </r>
  <r>
    <x v="544"/>
    <n v="68"/>
    <x v="1"/>
    <x v="1"/>
    <x v="0"/>
    <s v="Diabetes"/>
    <x v="538"/>
    <x v="52"/>
    <n v="3"/>
    <x v="0"/>
  </r>
  <r>
    <x v="545"/>
    <n v="61"/>
    <x v="0"/>
    <x v="3"/>
    <x v="385"/>
    <s v="Infection"/>
    <x v="539"/>
    <x v="8"/>
    <n v="2"/>
    <x v="3"/>
  </r>
  <r>
    <x v="546"/>
    <n v="84"/>
    <x v="1"/>
    <x v="1"/>
    <x v="386"/>
    <s v="Hypertension"/>
    <x v="540"/>
    <x v="10"/>
    <n v="4"/>
    <x v="18"/>
  </r>
  <r>
    <x v="547"/>
    <n v="9"/>
    <x v="0"/>
    <x v="0"/>
    <x v="86"/>
    <s v="Diabetes"/>
    <x v="541"/>
    <x v="5"/>
    <n v="4"/>
    <x v="5"/>
  </r>
  <r>
    <x v="548"/>
    <n v="37"/>
    <x v="0"/>
    <x v="5"/>
    <x v="387"/>
    <s v="Allergy"/>
    <x v="542"/>
    <x v="11"/>
    <n v="1"/>
    <x v="20"/>
  </r>
  <r>
    <x v="549"/>
    <n v="21"/>
    <x v="1"/>
    <x v="5"/>
    <x v="184"/>
    <s v="Hypertension"/>
    <x v="543"/>
    <x v="32"/>
    <n v="1"/>
    <x v="17"/>
  </r>
  <r>
    <x v="550"/>
    <n v="55"/>
    <x v="1"/>
    <x v="0"/>
    <x v="36"/>
    <s v="Allergy"/>
    <x v="544"/>
    <x v="54"/>
    <n v="3"/>
    <x v="17"/>
  </r>
  <r>
    <x v="551"/>
    <n v="78"/>
    <x v="1"/>
    <x v="0"/>
    <x v="128"/>
    <s v="Fracture"/>
    <x v="545"/>
    <x v="47"/>
    <n v="0"/>
    <x v="10"/>
  </r>
  <r>
    <x v="552"/>
    <n v="89"/>
    <x v="0"/>
    <x v="1"/>
    <x v="81"/>
    <s v="Allergy"/>
    <x v="546"/>
    <x v="18"/>
    <n v="2"/>
    <x v="1"/>
  </r>
  <r>
    <x v="553"/>
    <n v="34"/>
    <x v="1"/>
    <x v="2"/>
    <x v="388"/>
    <s v="Allergy"/>
    <x v="547"/>
    <x v="12"/>
    <n v="3"/>
    <x v="21"/>
  </r>
  <r>
    <x v="554"/>
    <n v="82"/>
    <x v="1"/>
    <x v="2"/>
    <x v="389"/>
    <s v="Migraine"/>
    <x v="548"/>
    <x v="47"/>
    <n v="5"/>
    <x v="1"/>
  </r>
  <r>
    <x v="555"/>
    <n v="5"/>
    <x v="0"/>
    <x v="0"/>
    <x v="41"/>
    <s v="Hypertension"/>
    <x v="549"/>
    <x v="2"/>
    <n v="0"/>
    <x v="3"/>
  </r>
  <r>
    <x v="556"/>
    <n v="80"/>
    <x v="1"/>
    <x v="4"/>
    <x v="390"/>
    <s v="Diabetes"/>
    <x v="550"/>
    <x v="19"/>
    <n v="0"/>
    <x v="21"/>
  </r>
  <r>
    <x v="557"/>
    <n v="47"/>
    <x v="1"/>
    <x v="2"/>
    <x v="349"/>
    <s v="Hypertension"/>
    <x v="551"/>
    <x v="28"/>
    <n v="5"/>
    <x v="5"/>
  </r>
  <r>
    <x v="558"/>
    <n v="10"/>
    <x v="1"/>
    <x v="2"/>
    <x v="56"/>
    <s v="Allergy"/>
    <x v="552"/>
    <x v="9"/>
    <n v="0"/>
    <x v="8"/>
  </r>
  <r>
    <x v="559"/>
    <n v="14"/>
    <x v="1"/>
    <x v="3"/>
    <x v="217"/>
    <s v="Migraine"/>
    <x v="553"/>
    <x v="35"/>
    <n v="3"/>
    <x v="9"/>
  </r>
  <r>
    <x v="560"/>
    <n v="59"/>
    <x v="0"/>
    <x v="1"/>
    <x v="97"/>
    <s v="Fracture"/>
    <x v="554"/>
    <x v="31"/>
    <n v="5"/>
    <x v="21"/>
  </r>
  <r>
    <x v="561"/>
    <n v="50"/>
    <x v="0"/>
    <x v="0"/>
    <x v="357"/>
    <s v="Allergy"/>
    <x v="555"/>
    <x v="33"/>
    <n v="1"/>
    <x v="18"/>
  </r>
  <r>
    <x v="562"/>
    <n v="51"/>
    <x v="0"/>
    <x v="5"/>
    <x v="391"/>
    <s v="Hypertension"/>
    <x v="556"/>
    <x v="5"/>
    <n v="1"/>
    <x v="10"/>
  </r>
  <r>
    <x v="563"/>
    <n v="21"/>
    <x v="0"/>
    <x v="1"/>
    <x v="64"/>
    <s v="Migraine"/>
    <x v="557"/>
    <x v="33"/>
    <n v="4"/>
    <x v="13"/>
  </r>
  <r>
    <x v="564"/>
    <n v="60"/>
    <x v="0"/>
    <x v="1"/>
    <x v="269"/>
    <s v="Allergy"/>
    <x v="558"/>
    <x v="46"/>
    <n v="1"/>
    <x v="5"/>
  </r>
  <r>
    <x v="565"/>
    <n v="44"/>
    <x v="0"/>
    <x v="0"/>
    <x v="392"/>
    <s v="Infection"/>
    <x v="559"/>
    <x v="10"/>
    <n v="3"/>
    <x v="2"/>
  </r>
  <r>
    <x v="566"/>
    <n v="22"/>
    <x v="1"/>
    <x v="5"/>
    <x v="10"/>
    <s v="Hypertension"/>
    <x v="560"/>
    <x v="14"/>
    <n v="3"/>
    <x v="9"/>
  </r>
  <r>
    <x v="567"/>
    <n v="12"/>
    <x v="0"/>
    <x v="5"/>
    <x v="217"/>
    <s v="Fracture"/>
    <x v="561"/>
    <x v="30"/>
    <n v="4"/>
    <x v="9"/>
  </r>
  <r>
    <x v="568"/>
    <n v="44"/>
    <x v="0"/>
    <x v="1"/>
    <x v="267"/>
    <s v="Hypertension"/>
    <x v="562"/>
    <x v="6"/>
    <n v="1"/>
    <x v="16"/>
  </r>
  <r>
    <x v="569"/>
    <n v="22"/>
    <x v="1"/>
    <x v="3"/>
    <x v="156"/>
    <s v="Diabetes"/>
    <x v="563"/>
    <x v="24"/>
    <n v="3"/>
    <x v="9"/>
  </r>
  <r>
    <x v="570"/>
    <n v="82"/>
    <x v="1"/>
    <x v="2"/>
    <x v="393"/>
    <s v="Migraine"/>
    <x v="564"/>
    <x v="5"/>
    <n v="5"/>
    <x v="14"/>
  </r>
  <r>
    <x v="571"/>
    <n v="47"/>
    <x v="1"/>
    <x v="0"/>
    <x v="154"/>
    <s v="Infection"/>
    <x v="565"/>
    <x v="11"/>
    <n v="1"/>
    <x v="0"/>
  </r>
  <r>
    <x v="572"/>
    <n v="73"/>
    <x v="1"/>
    <x v="5"/>
    <x v="329"/>
    <s v="Diabetes"/>
    <x v="566"/>
    <x v="21"/>
    <n v="4"/>
    <x v="20"/>
  </r>
  <r>
    <x v="573"/>
    <n v="19"/>
    <x v="1"/>
    <x v="3"/>
    <x v="273"/>
    <s v="Diabetes"/>
    <x v="567"/>
    <x v="50"/>
    <n v="4"/>
    <x v="1"/>
  </r>
  <r>
    <x v="574"/>
    <n v="64"/>
    <x v="0"/>
    <x v="4"/>
    <x v="206"/>
    <s v="Migraine"/>
    <x v="568"/>
    <x v="60"/>
    <n v="5"/>
    <x v="10"/>
  </r>
  <r>
    <x v="575"/>
    <n v="14"/>
    <x v="1"/>
    <x v="5"/>
    <x v="394"/>
    <s v="Infection"/>
    <x v="569"/>
    <x v="43"/>
    <n v="0"/>
    <x v="7"/>
  </r>
  <r>
    <x v="576"/>
    <n v="81"/>
    <x v="0"/>
    <x v="4"/>
    <x v="109"/>
    <s v="Migraine"/>
    <x v="570"/>
    <x v="42"/>
    <n v="1"/>
    <x v="19"/>
  </r>
  <r>
    <x v="577"/>
    <n v="21"/>
    <x v="0"/>
    <x v="0"/>
    <x v="83"/>
    <s v="Infection"/>
    <x v="571"/>
    <x v="9"/>
    <n v="4"/>
    <x v="18"/>
  </r>
  <r>
    <x v="578"/>
    <n v="85"/>
    <x v="0"/>
    <x v="1"/>
    <x v="395"/>
    <s v="Hypertension"/>
    <x v="572"/>
    <x v="5"/>
    <n v="1"/>
    <x v="13"/>
  </r>
  <r>
    <x v="579"/>
    <n v="4"/>
    <x v="0"/>
    <x v="1"/>
    <x v="326"/>
    <s v="Hypertension"/>
    <x v="573"/>
    <x v="13"/>
    <n v="3"/>
    <x v="6"/>
  </r>
  <r>
    <x v="580"/>
    <n v="63"/>
    <x v="0"/>
    <x v="1"/>
    <x v="32"/>
    <s v="Diabetes"/>
    <x v="574"/>
    <x v="42"/>
    <n v="1"/>
    <x v="17"/>
  </r>
  <r>
    <x v="581"/>
    <n v="63"/>
    <x v="1"/>
    <x v="2"/>
    <x v="396"/>
    <s v="Allergy"/>
    <x v="575"/>
    <x v="44"/>
    <n v="3"/>
    <x v="16"/>
  </r>
  <r>
    <x v="582"/>
    <n v="25"/>
    <x v="1"/>
    <x v="0"/>
    <x v="397"/>
    <s v="Infection"/>
    <x v="576"/>
    <x v="21"/>
    <n v="5"/>
    <x v="0"/>
  </r>
  <r>
    <x v="583"/>
    <n v="77"/>
    <x v="0"/>
    <x v="3"/>
    <x v="398"/>
    <s v="Migraine"/>
    <x v="577"/>
    <x v="48"/>
    <n v="2"/>
    <x v="4"/>
  </r>
  <r>
    <x v="584"/>
    <n v="63"/>
    <x v="1"/>
    <x v="2"/>
    <x v="399"/>
    <s v="Diabetes"/>
    <x v="578"/>
    <x v="46"/>
    <n v="0"/>
    <x v="6"/>
  </r>
  <r>
    <x v="585"/>
    <n v="72"/>
    <x v="0"/>
    <x v="2"/>
    <x v="400"/>
    <s v="Diabetes"/>
    <x v="579"/>
    <x v="30"/>
    <n v="0"/>
    <x v="3"/>
  </r>
  <r>
    <x v="586"/>
    <n v="58"/>
    <x v="1"/>
    <x v="5"/>
    <x v="401"/>
    <s v="Infection"/>
    <x v="580"/>
    <x v="48"/>
    <n v="5"/>
    <x v="0"/>
  </r>
  <r>
    <x v="587"/>
    <n v="65"/>
    <x v="1"/>
    <x v="1"/>
    <x v="238"/>
    <s v="Allergy"/>
    <x v="581"/>
    <x v="26"/>
    <n v="3"/>
    <x v="22"/>
  </r>
  <r>
    <x v="588"/>
    <n v="42"/>
    <x v="1"/>
    <x v="3"/>
    <x v="402"/>
    <s v="Infection"/>
    <x v="582"/>
    <x v="16"/>
    <n v="5"/>
    <x v="13"/>
  </r>
  <r>
    <x v="589"/>
    <n v="55"/>
    <x v="0"/>
    <x v="5"/>
    <x v="217"/>
    <s v="Infection"/>
    <x v="583"/>
    <x v="25"/>
    <n v="2"/>
    <x v="9"/>
  </r>
  <r>
    <x v="590"/>
    <n v="28"/>
    <x v="1"/>
    <x v="2"/>
    <x v="349"/>
    <s v="Infection"/>
    <x v="584"/>
    <x v="60"/>
    <n v="1"/>
    <x v="5"/>
  </r>
  <r>
    <x v="591"/>
    <n v="36"/>
    <x v="1"/>
    <x v="0"/>
    <x v="282"/>
    <s v="Diabetes"/>
    <x v="585"/>
    <x v="9"/>
    <n v="1"/>
    <x v="0"/>
  </r>
  <r>
    <x v="592"/>
    <n v="82"/>
    <x v="0"/>
    <x v="0"/>
    <x v="0"/>
    <s v="Diabetes"/>
    <x v="586"/>
    <x v="43"/>
    <n v="3"/>
    <x v="0"/>
  </r>
  <r>
    <x v="593"/>
    <n v="80"/>
    <x v="1"/>
    <x v="5"/>
    <x v="403"/>
    <s v="Diabetes"/>
    <x v="587"/>
    <x v="9"/>
    <n v="1"/>
    <x v="8"/>
  </r>
  <r>
    <x v="594"/>
    <n v="80"/>
    <x v="0"/>
    <x v="1"/>
    <x v="404"/>
    <s v="Fracture"/>
    <x v="588"/>
    <x v="31"/>
    <n v="2"/>
    <x v="19"/>
  </r>
  <r>
    <x v="595"/>
    <n v="32"/>
    <x v="1"/>
    <x v="1"/>
    <x v="405"/>
    <s v="Migraine"/>
    <x v="589"/>
    <x v="55"/>
    <n v="1"/>
    <x v="6"/>
  </r>
  <r>
    <x v="596"/>
    <n v="52"/>
    <x v="0"/>
    <x v="0"/>
    <x v="217"/>
    <s v="Fracture"/>
    <x v="590"/>
    <x v="7"/>
    <n v="0"/>
    <x v="9"/>
  </r>
  <r>
    <x v="597"/>
    <n v="81"/>
    <x v="0"/>
    <x v="3"/>
    <x v="385"/>
    <s v="Infection"/>
    <x v="591"/>
    <x v="18"/>
    <n v="4"/>
    <x v="3"/>
  </r>
  <r>
    <x v="598"/>
    <n v="16"/>
    <x v="1"/>
    <x v="1"/>
    <x v="109"/>
    <s v="Infection"/>
    <x v="592"/>
    <x v="20"/>
    <n v="1"/>
    <x v="19"/>
  </r>
  <r>
    <x v="599"/>
    <n v="42"/>
    <x v="0"/>
    <x v="1"/>
    <x v="343"/>
    <s v="Migraine"/>
    <x v="593"/>
    <x v="43"/>
    <n v="3"/>
    <x v="20"/>
  </r>
  <r>
    <x v="600"/>
    <n v="48"/>
    <x v="1"/>
    <x v="0"/>
    <x v="148"/>
    <s v="Infection"/>
    <x v="594"/>
    <x v="9"/>
    <n v="0"/>
    <x v="10"/>
  </r>
  <r>
    <x v="601"/>
    <n v="18"/>
    <x v="0"/>
    <x v="0"/>
    <x v="406"/>
    <s v="Migraine"/>
    <x v="595"/>
    <x v="30"/>
    <n v="1"/>
    <x v="17"/>
  </r>
  <r>
    <x v="602"/>
    <n v="81"/>
    <x v="1"/>
    <x v="2"/>
    <x v="339"/>
    <s v="Diabetes"/>
    <x v="596"/>
    <x v="5"/>
    <n v="0"/>
    <x v="13"/>
  </r>
  <r>
    <x v="603"/>
    <n v="41"/>
    <x v="1"/>
    <x v="4"/>
    <x v="291"/>
    <s v="Allergy"/>
    <x v="597"/>
    <x v="11"/>
    <n v="2"/>
    <x v="20"/>
  </r>
  <r>
    <x v="604"/>
    <n v="50"/>
    <x v="0"/>
    <x v="1"/>
    <x v="407"/>
    <s v="Hypertension"/>
    <x v="598"/>
    <x v="32"/>
    <n v="2"/>
    <x v="11"/>
  </r>
  <r>
    <x v="605"/>
    <n v="66"/>
    <x v="0"/>
    <x v="5"/>
    <x v="307"/>
    <s v="Infection"/>
    <x v="599"/>
    <x v="36"/>
    <n v="5"/>
    <x v="20"/>
  </r>
  <r>
    <x v="606"/>
    <n v="41"/>
    <x v="0"/>
    <x v="0"/>
    <x v="399"/>
    <s v="Allergy"/>
    <x v="600"/>
    <x v="15"/>
    <n v="2"/>
    <x v="6"/>
  </r>
  <r>
    <x v="607"/>
    <n v="53"/>
    <x v="0"/>
    <x v="2"/>
    <x v="257"/>
    <s v="Hypertension"/>
    <x v="601"/>
    <x v="49"/>
    <n v="4"/>
    <x v="12"/>
  </r>
  <r>
    <x v="608"/>
    <n v="45"/>
    <x v="1"/>
    <x v="1"/>
    <x v="408"/>
    <s v="Diabetes"/>
    <x v="602"/>
    <x v="28"/>
    <n v="0"/>
    <x v="18"/>
  </r>
  <r>
    <x v="609"/>
    <n v="47"/>
    <x v="1"/>
    <x v="5"/>
    <x v="409"/>
    <s v="Infection"/>
    <x v="603"/>
    <x v="1"/>
    <n v="4"/>
    <x v="21"/>
  </r>
  <r>
    <x v="610"/>
    <n v="30"/>
    <x v="1"/>
    <x v="1"/>
    <x v="253"/>
    <s v="Allergy"/>
    <x v="604"/>
    <x v="22"/>
    <n v="3"/>
    <x v="0"/>
  </r>
  <r>
    <x v="611"/>
    <n v="59"/>
    <x v="1"/>
    <x v="0"/>
    <x v="410"/>
    <s v="Diabetes"/>
    <x v="605"/>
    <x v="41"/>
    <n v="5"/>
    <x v="5"/>
  </r>
  <r>
    <x v="612"/>
    <n v="38"/>
    <x v="1"/>
    <x v="5"/>
    <x v="411"/>
    <s v="Allergy"/>
    <x v="606"/>
    <x v="14"/>
    <n v="3"/>
    <x v="17"/>
  </r>
  <r>
    <x v="613"/>
    <n v="67"/>
    <x v="0"/>
    <x v="3"/>
    <x v="63"/>
    <s v="Migraine"/>
    <x v="607"/>
    <x v="20"/>
    <n v="5"/>
    <x v="1"/>
  </r>
  <r>
    <x v="614"/>
    <n v="2"/>
    <x v="0"/>
    <x v="4"/>
    <x v="412"/>
    <s v="Hypertension"/>
    <x v="608"/>
    <x v="13"/>
    <n v="4"/>
    <x v="21"/>
  </r>
  <r>
    <x v="615"/>
    <n v="21"/>
    <x v="0"/>
    <x v="2"/>
    <x v="413"/>
    <s v="Hypertension"/>
    <x v="609"/>
    <x v="54"/>
    <n v="2"/>
    <x v="19"/>
  </r>
  <r>
    <x v="616"/>
    <n v="79"/>
    <x v="0"/>
    <x v="5"/>
    <x v="113"/>
    <s v="Fracture"/>
    <x v="610"/>
    <x v="19"/>
    <n v="3"/>
    <x v="16"/>
  </r>
  <r>
    <x v="617"/>
    <n v="52"/>
    <x v="1"/>
    <x v="1"/>
    <x v="337"/>
    <s v="Migraine"/>
    <x v="611"/>
    <x v="60"/>
    <n v="2"/>
    <x v="1"/>
  </r>
  <r>
    <x v="618"/>
    <n v="88"/>
    <x v="0"/>
    <x v="1"/>
    <x v="20"/>
    <s v="Hypertension"/>
    <x v="612"/>
    <x v="25"/>
    <n v="1"/>
    <x v="5"/>
  </r>
  <r>
    <x v="619"/>
    <n v="81"/>
    <x v="1"/>
    <x v="3"/>
    <x v="32"/>
    <s v="Allergy"/>
    <x v="613"/>
    <x v="28"/>
    <n v="3"/>
    <x v="17"/>
  </r>
  <r>
    <x v="620"/>
    <n v="16"/>
    <x v="0"/>
    <x v="0"/>
    <x v="408"/>
    <s v="Migraine"/>
    <x v="614"/>
    <x v="29"/>
    <n v="2"/>
    <x v="18"/>
  </r>
  <r>
    <x v="621"/>
    <n v="25"/>
    <x v="0"/>
    <x v="4"/>
    <x v="198"/>
    <s v="Fracture"/>
    <x v="615"/>
    <x v="7"/>
    <n v="3"/>
    <x v="9"/>
  </r>
  <r>
    <x v="622"/>
    <n v="16"/>
    <x v="1"/>
    <x v="5"/>
    <x v="374"/>
    <s v="Infection"/>
    <x v="616"/>
    <x v="1"/>
    <n v="2"/>
    <x v="4"/>
  </r>
  <r>
    <x v="623"/>
    <n v="18"/>
    <x v="0"/>
    <x v="4"/>
    <x v="414"/>
    <s v="Infection"/>
    <x v="617"/>
    <x v="60"/>
    <n v="3"/>
    <x v="11"/>
  </r>
  <r>
    <x v="624"/>
    <n v="22"/>
    <x v="1"/>
    <x v="0"/>
    <x v="189"/>
    <s v="Fracture"/>
    <x v="618"/>
    <x v="25"/>
    <n v="4"/>
    <x v="5"/>
  </r>
  <r>
    <x v="625"/>
    <n v="27"/>
    <x v="0"/>
    <x v="0"/>
    <x v="186"/>
    <s v="Allergy"/>
    <x v="619"/>
    <x v="55"/>
    <n v="0"/>
    <x v="22"/>
  </r>
  <r>
    <x v="626"/>
    <n v="42"/>
    <x v="0"/>
    <x v="5"/>
    <x v="134"/>
    <s v="Infection"/>
    <x v="620"/>
    <x v="45"/>
    <n v="5"/>
    <x v="6"/>
  </r>
  <r>
    <x v="627"/>
    <n v="61"/>
    <x v="0"/>
    <x v="1"/>
    <x v="415"/>
    <s v="Migraine"/>
    <x v="621"/>
    <x v="14"/>
    <n v="1"/>
    <x v="5"/>
  </r>
  <r>
    <x v="628"/>
    <n v="6"/>
    <x v="1"/>
    <x v="2"/>
    <x v="416"/>
    <s v="Migraine"/>
    <x v="622"/>
    <x v="41"/>
    <n v="2"/>
    <x v="9"/>
  </r>
  <r>
    <x v="629"/>
    <n v="2"/>
    <x v="1"/>
    <x v="4"/>
    <x v="417"/>
    <s v="Allergy"/>
    <x v="623"/>
    <x v="11"/>
    <n v="1"/>
    <x v="21"/>
  </r>
  <r>
    <x v="630"/>
    <n v="68"/>
    <x v="1"/>
    <x v="0"/>
    <x v="188"/>
    <s v="Fracture"/>
    <x v="624"/>
    <x v="24"/>
    <n v="3"/>
    <x v="10"/>
  </r>
  <r>
    <x v="631"/>
    <n v="19"/>
    <x v="0"/>
    <x v="0"/>
    <x v="307"/>
    <s v="Hypertension"/>
    <x v="625"/>
    <x v="52"/>
    <n v="1"/>
    <x v="20"/>
  </r>
  <r>
    <x v="632"/>
    <n v="56"/>
    <x v="1"/>
    <x v="3"/>
    <x v="130"/>
    <s v="Hypertension"/>
    <x v="626"/>
    <x v="32"/>
    <n v="5"/>
    <x v="10"/>
  </r>
  <r>
    <x v="633"/>
    <n v="80"/>
    <x v="0"/>
    <x v="1"/>
    <x v="238"/>
    <s v="Diabetes"/>
    <x v="627"/>
    <x v="54"/>
    <n v="0"/>
    <x v="22"/>
  </r>
  <r>
    <x v="634"/>
    <n v="20"/>
    <x v="0"/>
    <x v="2"/>
    <x v="102"/>
    <s v="Migraine"/>
    <x v="628"/>
    <x v="2"/>
    <n v="5"/>
    <x v="10"/>
  </r>
  <r>
    <x v="635"/>
    <n v="41"/>
    <x v="0"/>
    <x v="5"/>
    <x v="418"/>
    <s v="Hypertension"/>
    <x v="629"/>
    <x v="52"/>
    <n v="0"/>
    <x v="6"/>
  </r>
  <r>
    <x v="636"/>
    <n v="43"/>
    <x v="0"/>
    <x v="4"/>
    <x v="419"/>
    <s v="Diabetes"/>
    <x v="630"/>
    <x v="3"/>
    <n v="4"/>
    <x v="13"/>
  </r>
  <r>
    <x v="637"/>
    <n v="53"/>
    <x v="1"/>
    <x v="3"/>
    <x v="156"/>
    <s v="Hypertension"/>
    <x v="631"/>
    <x v="32"/>
    <n v="0"/>
    <x v="9"/>
  </r>
  <r>
    <x v="638"/>
    <n v="61"/>
    <x v="0"/>
    <x v="5"/>
    <x v="112"/>
    <s v="Infection"/>
    <x v="632"/>
    <x v="33"/>
    <n v="2"/>
    <x v="17"/>
  </r>
  <r>
    <x v="639"/>
    <n v="8"/>
    <x v="1"/>
    <x v="2"/>
    <x v="420"/>
    <s v="Diabetes"/>
    <x v="633"/>
    <x v="40"/>
    <n v="4"/>
    <x v="7"/>
  </r>
  <r>
    <x v="640"/>
    <n v="73"/>
    <x v="1"/>
    <x v="2"/>
    <x v="421"/>
    <s v="Fracture"/>
    <x v="634"/>
    <x v="49"/>
    <n v="2"/>
    <x v="1"/>
  </r>
  <r>
    <x v="641"/>
    <n v="22"/>
    <x v="0"/>
    <x v="1"/>
    <x v="419"/>
    <s v="Allergy"/>
    <x v="635"/>
    <x v="6"/>
    <n v="4"/>
    <x v="13"/>
  </r>
  <r>
    <x v="642"/>
    <n v="84"/>
    <x v="0"/>
    <x v="0"/>
    <x v="397"/>
    <s v="Hypertension"/>
    <x v="636"/>
    <x v="11"/>
    <n v="5"/>
    <x v="0"/>
  </r>
  <r>
    <x v="643"/>
    <n v="13"/>
    <x v="1"/>
    <x v="2"/>
    <x v="316"/>
    <s v="Diabetes"/>
    <x v="637"/>
    <x v="15"/>
    <n v="0"/>
    <x v="4"/>
  </r>
  <r>
    <x v="644"/>
    <n v="82"/>
    <x v="1"/>
    <x v="0"/>
    <x v="422"/>
    <s v="Fracture"/>
    <x v="638"/>
    <x v="37"/>
    <n v="5"/>
    <x v="14"/>
  </r>
  <r>
    <x v="645"/>
    <n v="11"/>
    <x v="0"/>
    <x v="2"/>
    <x v="313"/>
    <s v="Fracture"/>
    <x v="639"/>
    <x v="20"/>
    <n v="1"/>
    <x v="7"/>
  </r>
  <r>
    <x v="646"/>
    <n v="1"/>
    <x v="0"/>
    <x v="0"/>
    <x v="140"/>
    <s v="Allergy"/>
    <x v="640"/>
    <x v="21"/>
    <n v="3"/>
    <x v="21"/>
  </r>
  <r>
    <x v="647"/>
    <n v="89"/>
    <x v="0"/>
    <x v="0"/>
    <x v="423"/>
    <s v="Diabetes"/>
    <x v="641"/>
    <x v="24"/>
    <n v="1"/>
    <x v="11"/>
  </r>
  <r>
    <x v="648"/>
    <n v="4"/>
    <x v="0"/>
    <x v="3"/>
    <x v="358"/>
    <s v="Infection"/>
    <x v="642"/>
    <x v="24"/>
    <n v="3"/>
    <x v="23"/>
  </r>
  <r>
    <x v="649"/>
    <n v="36"/>
    <x v="0"/>
    <x v="1"/>
    <x v="424"/>
    <s v="Infection"/>
    <x v="643"/>
    <x v="11"/>
    <n v="4"/>
    <x v="20"/>
  </r>
  <r>
    <x v="650"/>
    <n v="57"/>
    <x v="0"/>
    <x v="0"/>
    <x v="425"/>
    <s v="Diabetes"/>
    <x v="644"/>
    <x v="30"/>
    <n v="3"/>
    <x v="17"/>
  </r>
  <r>
    <x v="651"/>
    <n v="50"/>
    <x v="1"/>
    <x v="2"/>
    <x v="369"/>
    <s v="Migraine"/>
    <x v="645"/>
    <x v="15"/>
    <n v="0"/>
    <x v="8"/>
  </r>
  <r>
    <x v="652"/>
    <n v="70"/>
    <x v="0"/>
    <x v="4"/>
    <x v="66"/>
    <s v="Migraine"/>
    <x v="646"/>
    <x v="4"/>
    <n v="3"/>
    <x v="9"/>
  </r>
  <r>
    <x v="653"/>
    <n v="87"/>
    <x v="0"/>
    <x v="1"/>
    <x v="161"/>
    <s v="Hypertension"/>
    <x v="647"/>
    <x v="51"/>
    <n v="3"/>
    <x v="0"/>
  </r>
  <r>
    <x v="654"/>
    <n v="20"/>
    <x v="1"/>
    <x v="0"/>
    <x v="426"/>
    <s v="Allergy"/>
    <x v="648"/>
    <x v="60"/>
    <n v="0"/>
    <x v="17"/>
  </r>
  <r>
    <x v="655"/>
    <n v="55"/>
    <x v="1"/>
    <x v="2"/>
    <x v="427"/>
    <s v="Allergy"/>
    <x v="649"/>
    <x v="52"/>
    <n v="0"/>
    <x v="10"/>
  </r>
  <r>
    <x v="656"/>
    <n v="66"/>
    <x v="1"/>
    <x v="2"/>
    <x v="428"/>
    <s v="Allergy"/>
    <x v="650"/>
    <x v="6"/>
    <n v="3"/>
    <x v="1"/>
  </r>
  <r>
    <x v="657"/>
    <n v="62"/>
    <x v="1"/>
    <x v="5"/>
    <x v="313"/>
    <s v="Migraine"/>
    <x v="651"/>
    <x v="50"/>
    <n v="5"/>
    <x v="7"/>
  </r>
  <r>
    <x v="658"/>
    <n v="13"/>
    <x v="0"/>
    <x v="1"/>
    <x v="195"/>
    <s v="Allergy"/>
    <x v="652"/>
    <x v="13"/>
    <n v="5"/>
    <x v="16"/>
  </r>
  <r>
    <x v="659"/>
    <n v="65"/>
    <x v="1"/>
    <x v="3"/>
    <x v="135"/>
    <s v="Allergy"/>
    <x v="653"/>
    <x v="10"/>
    <n v="4"/>
    <x v="9"/>
  </r>
  <r>
    <x v="660"/>
    <n v="11"/>
    <x v="0"/>
    <x v="0"/>
    <x v="429"/>
    <s v="Migraine"/>
    <x v="654"/>
    <x v="35"/>
    <n v="3"/>
    <x v="12"/>
  </r>
  <r>
    <x v="661"/>
    <n v="17"/>
    <x v="0"/>
    <x v="2"/>
    <x v="430"/>
    <s v="Diabetes"/>
    <x v="655"/>
    <x v="2"/>
    <n v="1"/>
    <x v="9"/>
  </r>
  <r>
    <x v="662"/>
    <n v="21"/>
    <x v="1"/>
    <x v="4"/>
    <x v="208"/>
    <s v="Diabetes"/>
    <x v="656"/>
    <x v="26"/>
    <n v="3"/>
    <x v="12"/>
  </r>
  <r>
    <x v="663"/>
    <n v="42"/>
    <x v="1"/>
    <x v="4"/>
    <x v="364"/>
    <s v="Fracture"/>
    <x v="657"/>
    <x v="53"/>
    <n v="3"/>
    <x v="6"/>
  </r>
  <r>
    <x v="664"/>
    <n v="66"/>
    <x v="1"/>
    <x v="5"/>
    <x v="123"/>
    <s v="Infection"/>
    <x v="658"/>
    <x v="52"/>
    <n v="4"/>
    <x v="7"/>
  </r>
  <r>
    <x v="665"/>
    <n v="11"/>
    <x v="0"/>
    <x v="5"/>
    <x v="321"/>
    <s v="Migraine"/>
    <x v="659"/>
    <x v="37"/>
    <n v="2"/>
    <x v="17"/>
  </r>
  <r>
    <x v="666"/>
    <n v="88"/>
    <x v="1"/>
    <x v="1"/>
    <x v="431"/>
    <s v="Allergy"/>
    <x v="660"/>
    <x v="17"/>
    <n v="0"/>
    <x v="2"/>
  </r>
  <r>
    <x v="667"/>
    <n v="58"/>
    <x v="1"/>
    <x v="4"/>
    <x v="432"/>
    <s v="Hypertension"/>
    <x v="661"/>
    <x v="16"/>
    <n v="1"/>
    <x v="17"/>
  </r>
  <r>
    <x v="668"/>
    <n v="14"/>
    <x v="0"/>
    <x v="1"/>
    <x v="368"/>
    <s v="Diabetes"/>
    <x v="662"/>
    <x v="6"/>
    <n v="4"/>
    <x v="8"/>
  </r>
  <r>
    <x v="669"/>
    <n v="52"/>
    <x v="0"/>
    <x v="1"/>
    <x v="433"/>
    <s v="Hypertension"/>
    <x v="663"/>
    <x v="40"/>
    <n v="2"/>
    <x v="2"/>
  </r>
  <r>
    <x v="670"/>
    <n v="77"/>
    <x v="0"/>
    <x v="0"/>
    <x v="277"/>
    <s v="Migraine"/>
    <x v="664"/>
    <x v="18"/>
    <n v="1"/>
    <x v="11"/>
  </r>
  <r>
    <x v="671"/>
    <n v="23"/>
    <x v="0"/>
    <x v="2"/>
    <x v="189"/>
    <s v="Infection"/>
    <x v="85"/>
    <x v="7"/>
    <n v="3"/>
    <x v="5"/>
  </r>
  <r>
    <x v="672"/>
    <n v="3"/>
    <x v="0"/>
    <x v="4"/>
    <x v="387"/>
    <s v="Migraine"/>
    <x v="665"/>
    <x v="41"/>
    <n v="5"/>
    <x v="20"/>
  </r>
  <r>
    <x v="673"/>
    <n v="1"/>
    <x v="1"/>
    <x v="3"/>
    <x v="434"/>
    <s v="Fracture"/>
    <x v="666"/>
    <x v="42"/>
    <n v="5"/>
    <x v="5"/>
  </r>
  <r>
    <x v="674"/>
    <n v="86"/>
    <x v="0"/>
    <x v="1"/>
    <x v="368"/>
    <s v="Infection"/>
    <x v="667"/>
    <x v="38"/>
    <n v="1"/>
    <x v="8"/>
  </r>
  <r>
    <x v="675"/>
    <n v="46"/>
    <x v="1"/>
    <x v="3"/>
    <x v="254"/>
    <s v="Infection"/>
    <x v="668"/>
    <x v="26"/>
    <n v="5"/>
    <x v="12"/>
  </r>
  <r>
    <x v="676"/>
    <n v="40"/>
    <x v="0"/>
    <x v="3"/>
    <x v="289"/>
    <s v="Fracture"/>
    <x v="669"/>
    <x v="38"/>
    <n v="1"/>
    <x v="0"/>
  </r>
  <r>
    <x v="677"/>
    <n v="83"/>
    <x v="1"/>
    <x v="3"/>
    <x v="235"/>
    <s v="Allergy"/>
    <x v="670"/>
    <x v="29"/>
    <n v="0"/>
    <x v="7"/>
  </r>
  <r>
    <x v="678"/>
    <n v="28"/>
    <x v="1"/>
    <x v="2"/>
    <x v="435"/>
    <s v="Hypertension"/>
    <x v="671"/>
    <x v="21"/>
    <n v="0"/>
    <x v="18"/>
  </r>
  <r>
    <x v="679"/>
    <n v="71"/>
    <x v="1"/>
    <x v="3"/>
    <x v="94"/>
    <s v="Infection"/>
    <x v="672"/>
    <x v="16"/>
    <n v="3"/>
    <x v="6"/>
  </r>
  <r>
    <x v="680"/>
    <n v="12"/>
    <x v="0"/>
    <x v="1"/>
    <x v="436"/>
    <s v="Migraine"/>
    <x v="673"/>
    <x v="17"/>
    <n v="3"/>
    <x v="21"/>
  </r>
  <r>
    <x v="681"/>
    <n v="40"/>
    <x v="0"/>
    <x v="3"/>
    <x v="437"/>
    <s v="Fracture"/>
    <x v="674"/>
    <x v="52"/>
    <n v="0"/>
    <x v="17"/>
  </r>
  <r>
    <x v="682"/>
    <n v="62"/>
    <x v="1"/>
    <x v="5"/>
    <x v="438"/>
    <s v="Migraine"/>
    <x v="675"/>
    <x v="50"/>
    <n v="0"/>
    <x v="7"/>
  </r>
  <r>
    <x v="683"/>
    <n v="71"/>
    <x v="1"/>
    <x v="2"/>
    <x v="153"/>
    <s v="Allergy"/>
    <x v="676"/>
    <x v="13"/>
    <n v="3"/>
    <x v="2"/>
  </r>
  <r>
    <x v="684"/>
    <n v="89"/>
    <x v="0"/>
    <x v="4"/>
    <x v="277"/>
    <s v="Hypertension"/>
    <x v="677"/>
    <x v="9"/>
    <n v="5"/>
    <x v="11"/>
  </r>
  <r>
    <x v="685"/>
    <n v="9"/>
    <x v="0"/>
    <x v="2"/>
    <x v="439"/>
    <s v="Allergy"/>
    <x v="678"/>
    <x v="51"/>
    <n v="2"/>
    <x v="8"/>
  </r>
  <r>
    <x v="686"/>
    <n v="5"/>
    <x v="0"/>
    <x v="0"/>
    <x v="137"/>
    <s v="Migraine"/>
    <x v="679"/>
    <x v="4"/>
    <n v="0"/>
    <x v="11"/>
  </r>
  <r>
    <x v="687"/>
    <n v="1"/>
    <x v="1"/>
    <x v="0"/>
    <x v="440"/>
    <s v="Infection"/>
    <x v="680"/>
    <x v="27"/>
    <n v="3"/>
    <x v="3"/>
  </r>
  <r>
    <x v="688"/>
    <n v="19"/>
    <x v="1"/>
    <x v="0"/>
    <x v="228"/>
    <s v="Allergy"/>
    <x v="681"/>
    <x v="55"/>
    <n v="0"/>
    <x v="4"/>
  </r>
  <r>
    <x v="689"/>
    <n v="20"/>
    <x v="0"/>
    <x v="0"/>
    <x v="229"/>
    <s v="Fracture"/>
    <x v="682"/>
    <x v="50"/>
    <n v="5"/>
    <x v="0"/>
  </r>
  <r>
    <x v="690"/>
    <n v="12"/>
    <x v="0"/>
    <x v="4"/>
    <x v="264"/>
    <s v="Migraine"/>
    <x v="683"/>
    <x v="27"/>
    <n v="2"/>
    <x v="2"/>
  </r>
  <r>
    <x v="691"/>
    <n v="81"/>
    <x v="0"/>
    <x v="4"/>
    <x v="408"/>
    <s v="Infection"/>
    <x v="684"/>
    <x v="1"/>
    <n v="5"/>
    <x v="18"/>
  </r>
  <r>
    <x v="692"/>
    <n v="26"/>
    <x v="0"/>
    <x v="1"/>
    <x v="441"/>
    <s v="Migraine"/>
    <x v="685"/>
    <x v="7"/>
    <n v="2"/>
    <x v="11"/>
  </r>
  <r>
    <x v="693"/>
    <n v="10"/>
    <x v="1"/>
    <x v="0"/>
    <x v="442"/>
    <s v="Infection"/>
    <x v="686"/>
    <x v="37"/>
    <n v="3"/>
    <x v="21"/>
  </r>
  <r>
    <x v="694"/>
    <n v="53"/>
    <x v="1"/>
    <x v="0"/>
    <x v="443"/>
    <s v="Allergy"/>
    <x v="687"/>
    <x v="46"/>
    <n v="3"/>
    <x v="10"/>
  </r>
  <r>
    <x v="695"/>
    <n v="67"/>
    <x v="1"/>
    <x v="3"/>
    <x v="260"/>
    <s v="Diabetes"/>
    <x v="688"/>
    <x v="26"/>
    <n v="4"/>
    <x v="6"/>
  </r>
  <r>
    <x v="696"/>
    <n v="76"/>
    <x v="0"/>
    <x v="3"/>
    <x v="375"/>
    <s v="Allergy"/>
    <x v="689"/>
    <x v="19"/>
    <n v="2"/>
    <x v="1"/>
  </r>
  <r>
    <x v="697"/>
    <n v="29"/>
    <x v="1"/>
    <x v="0"/>
    <x v="32"/>
    <s v="Diabetes"/>
    <x v="690"/>
    <x v="57"/>
    <n v="0"/>
    <x v="17"/>
  </r>
  <r>
    <x v="698"/>
    <n v="8"/>
    <x v="0"/>
    <x v="1"/>
    <x v="131"/>
    <s v="Migraine"/>
    <x v="691"/>
    <x v="35"/>
    <n v="5"/>
    <x v="4"/>
  </r>
  <r>
    <x v="699"/>
    <n v="46"/>
    <x v="0"/>
    <x v="4"/>
    <x v="31"/>
    <s v="Hypertension"/>
    <x v="692"/>
    <x v="16"/>
    <n v="3"/>
    <x v="9"/>
  </r>
  <r>
    <x v="700"/>
    <n v="79"/>
    <x v="0"/>
    <x v="1"/>
    <x v="444"/>
    <s v="Diabetes"/>
    <x v="693"/>
    <x v="45"/>
    <n v="4"/>
    <x v="21"/>
  </r>
  <r>
    <x v="701"/>
    <n v="17"/>
    <x v="0"/>
    <x v="2"/>
    <x v="445"/>
    <s v="Infection"/>
    <x v="694"/>
    <x v="60"/>
    <n v="0"/>
    <x v="3"/>
  </r>
  <r>
    <x v="702"/>
    <n v="35"/>
    <x v="1"/>
    <x v="5"/>
    <x v="446"/>
    <s v="Infection"/>
    <x v="695"/>
    <x v="23"/>
    <n v="4"/>
    <x v="20"/>
  </r>
  <r>
    <x v="703"/>
    <n v="87"/>
    <x v="1"/>
    <x v="5"/>
    <x v="447"/>
    <s v="Hypertension"/>
    <x v="696"/>
    <x v="57"/>
    <n v="3"/>
    <x v="2"/>
  </r>
  <r>
    <x v="704"/>
    <n v="88"/>
    <x v="0"/>
    <x v="4"/>
    <x v="433"/>
    <s v="Migraine"/>
    <x v="697"/>
    <x v="47"/>
    <n v="1"/>
    <x v="2"/>
  </r>
  <r>
    <x v="705"/>
    <n v="83"/>
    <x v="1"/>
    <x v="5"/>
    <x v="269"/>
    <s v="Diabetes"/>
    <x v="698"/>
    <x v="27"/>
    <n v="0"/>
    <x v="5"/>
  </r>
  <r>
    <x v="706"/>
    <n v="59"/>
    <x v="0"/>
    <x v="1"/>
    <x v="448"/>
    <s v="Infection"/>
    <x v="699"/>
    <x v="32"/>
    <n v="4"/>
    <x v="17"/>
  </r>
  <r>
    <x v="707"/>
    <n v="7"/>
    <x v="1"/>
    <x v="2"/>
    <x v="353"/>
    <s v="Migraine"/>
    <x v="700"/>
    <x v="11"/>
    <n v="4"/>
    <x v="15"/>
  </r>
  <r>
    <x v="708"/>
    <n v="26"/>
    <x v="1"/>
    <x v="1"/>
    <x v="318"/>
    <s v="Fracture"/>
    <x v="701"/>
    <x v="16"/>
    <n v="0"/>
    <x v="16"/>
  </r>
  <r>
    <x v="709"/>
    <n v="10"/>
    <x v="1"/>
    <x v="4"/>
    <x v="449"/>
    <s v="Fracture"/>
    <x v="702"/>
    <x v="19"/>
    <n v="5"/>
    <x v="22"/>
  </r>
  <r>
    <x v="710"/>
    <n v="53"/>
    <x v="1"/>
    <x v="3"/>
    <x v="450"/>
    <s v="Hypertension"/>
    <x v="703"/>
    <x v="42"/>
    <n v="2"/>
    <x v="0"/>
  </r>
  <r>
    <x v="711"/>
    <n v="51"/>
    <x v="1"/>
    <x v="1"/>
    <x v="429"/>
    <s v="Fracture"/>
    <x v="704"/>
    <x v="52"/>
    <n v="0"/>
    <x v="12"/>
  </r>
  <r>
    <x v="712"/>
    <n v="39"/>
    <x v="1"/>
    <x v="4"/>
    <x v="440"/>
    <s v="Infection"/>
    <x v="705"/>
    <x v="20"/>
    <n v="1"/>
    <x v="3"/>
  </r>
  <r>
    <x v="713"/>
    <n v="47"/>
    <x v="1"/>
    <x v="1"/>
    <x v="333"/>
    <s v="Diabetes"/>
    <x v="706"/>
    <x v="41"/>
    <n v="5"/>
    <x v="17"/>
  </r>
  <r>
    <x v="714"/>
    <n v="11"/>
    <x v="1"/>
    <x v="3"/>
    <x v="212"/>
    <s v="Infection"/>
    <x v="707"/>
    <x v="37"/>
    <n v="4"/>
    <x v="19"/>
  </r>
  <r>
    <x v="715"/>
    <n v="27"/>
    <x v="0"/>
    <x v="5"/>
    <x v="186"/>
    <s v="Infection"/>
    <x v="708"/>
    <x v="39"/>
    <n v="2"/>
    <x v="22"/>
  </r>
  <r>
    <x v="716"/>
    <n v="44"/>
    <x v="1"/>
    <x v="3"/>
    <x v="391"/>
    <s v="Migraine"/>
    <x v="709"/>
    <x v="18"/>
    <n v="4"/>
    <x v="10"/>
  </r>
  <r>
    <x v="717"/>
    <n v="84"/>
    <x v="1"/>
    <x v="0"/>
    <x v="328"/>
    <s v="Migraine"/>
    <x v="710"/>
    <x v="10"/>
    <n v="4"/>
    <x v="10"/>
  </r>
  <r>
    <x v="718"/>
    <n v="55"/>
    <x v="1"/>
    <x v="2"/>
    <x v="201"/>
    <s v="Hypertension"/>
    <x v="711"/>
    <x v="49"/>
    <n v="1"/>
    <x v="11"/>
  </r>
  <r>
    <x v="719"/>
    <n v="46"/>
    <x v="1"/>
    <x v="2"/>
    <x v="451"/>
    <s v="Migraine"/>
    <x v="712"/>
    <x v="18"/>
    <n v="4"/>
    <x v="19"/>
  </r>
  <r>
    <x v="720"/>
    <n v="5"/>
    <x v="1"/>
    <x v="5"/>
    <x v="224"/>
    <s v="Hypertension"/>
    <x v="713"/>
    <x v="15"/>
    <n v="4"/>
    <x v="3"/>
  </r>
  <r>
    <x v="721"/>
    <n v="35"/>
    <x v="0"/>
    <x v="2"/>
    <x v="52"/>
    <s v="Diabetes"/>
    <x v="714"/>
    <x v="25"/>
    <n v="0"/>
    <x v="7"/>
  </r>
  <r>
    <x v="722"/>
    <n v="83"/>
    <x v="0"/>
    <x v="3"/>
    <x v="231"/>
    <s v="Hypertension"/>
    <x v="715"/>
    <x v="24"/>
    <n v="3"/>
    <x v="4"/>
  </r>
  <r>
    <x v="723"/>
    <n v="2"/>
    <x v="1"/>
    <x v="4"/>
    <x v="206"/>
    <s v="Migraine"/>
    <x v="716"/>
    <x v="29"/>
    <n v="2"/>
    <x v="10"/>
  </r>
  <r>
    <x v="724"/>
    <n v="56"/>
    <x v="0"/>
    <x v="2"/>
    <x v="249"/>
    <s v="Hypertension"/>
    <x v="717"/>
    <x v="18"/>
    <n v="2"/>
    <x v="8"/>
  </r>
  <r>
    <x v="725"/>
    <n v="18"/>
    <x v="0"/>
    <x v="3"/>
    <x v="405"/>
    <s v="Diabetes"/>
    <x v="718"/>
    <x v="39"/>
    <n v="0"/>
    <x v="6"/>
  </r>
  <r>
    <x v="726"/>
    <n v="2"/>
    <x v="0"/>
    <x v="3"/>
    <x v="452"/>
    <s v="Infection"/>
    <x v="719"/>
    <x v="8"/>
    <n v="1"/>
    <x v="8"/>
  </r>
  <r>
    <x v="727"/>
    <n v="68"/>
    <x v="1"/>
    <x v="0"/>
    <x v="285"/>
    <s v="Fracture"/>
    <x v="720"/>
    <x v="55"/>
    <n v="4"/>
    <x v="20"/>
  </r>
  <r>
    <x v="728"/>
    <n v="34"/>
    <x v="1"/>
    <x v="3"/>
    <x v="51"/>
    <s v="Hypertension"/>
    <x v="721"/>
    <x v="58"/>
    <n v="0"/>
    <x v="9"/>
  </r>
  <r>
    <x v="729"/>
    <n v="3"/>
    <x v="0"/>
    <x v="0"/>
    <x v="453"/>
    <s v="Fracture"/>
    <x v="722"/>
    <x v="42"/>
    <n v="4"/>
    <x v="13"/>
  </r>
  <r>
    <x v="730"/>
    <n v="4"/>
    <x v="0"/>
    <x v="4"/>
    <x v="454"/>
    <s v="Diabetes"/>
    <x v="723"/>
    <x v="60"/>
    <n v="1"/>
    <x v="6"/>
  </r>
  <r>
    <x v="731"/>
    <n v="12"/>
    <x v="1"/>
    <x v="5"/>
    <x v="112"/>
    <s v="Hypertension"/>
    <x v="724"/>
    <x v="29"/>
    <n v="2"/>
    <x v="17"/>
  </r>
  <r>
    <x v="732"/>
    <n v="82"/>
    <x v="1"/>
    <x v="5"/>
    <x v="455"/>
    <s v="Infection"/>
    <x v="725"/>
    <x v="31"/>
    <n v="1"/>
    <x v="18"/>
  </r>
  <r>
    <x v="733"/>
    <n v="45"/>
    <x v="1"/>
    <x v="2"/>
    <x v="431"/>
    <s v="Fracture"/>
    <x v="726"/>
    <x v="3"/>
    <n v="1"/>
    <x v="2"/>
  </r>
  <r>
    <x v="734"/>
    <n v="20"/>
    <x v="0"/>
    <x v="0"/>
    <x v="391"/>
    <s v="Fracture"/>
    <x v="727"/>
    <x v="58"/>
    <n v="1"/>
    <x v="10"/>
  </r>
  <r>
    <x v="735"/>
    <n v="30"/>
    <x v="1"/>
    <x v="0"/>
    <x v="456"/>
    <s v="Diabetes"/>
    <x v="728"/>
    <x v="12"/>
    <n v="0"/>
    <x v="20"/>
  </r>
  <r>
    <x v="736"/>
    <n v="6"/>
    <x v="1"/>
    <x v="0"/>
    <x v="365"/>
    <s v="Infection"/>
    <x v="729"/>
    <x v="44"/>
    <n v="1"/>
    <x v="8"/>
  </r>
  <r>
    <x v="737"/>
    <n v="58"/>
    <x v="1"/>
    <x v="5"/>
    <x v="457"/>
    <s v="Allergy"/>
    <x v="730"/>
    <x v="47"/>
    <n v="0"/>
    <x v="4"/>
  </r>
  <r>
    <x v="738"/>
    <n v="35"/>
    <x v="1"/>
    <x v="1"/>
    <x v="458"/>
    <s v="Allergy"/>
    <x v="731"/>
    <x v="5"/>
    <n v="3"/>
    <x v="4"/>
  </r>
  <r>
    <x v="739"/>
    <n v="73"/>
    <x v="0"/>
    <x v="3"/>
    <x v="366"/>
    <s v="Allergy"/>
    <x v="732"/>
    <x v="16"/>
    <n v="3"/>
    <x v="0"/>
  </r>
  <r>
    <x v="740"/>
    <n v="88"/>
    <x v="1"/>
    <x v="3"/>
    <x v="459"/>
    <s v="Allergy"/>
    <x v="733"/>
    <x v="6"/>
    <n v="4"/>
    <x v="7"/>
  </r>
  <r>
    <x v="741"/>
    <n v="43"/>
    <x v="1"/>
    <x v="4"/>
    <x v="309"/>
    <s v="Infection"/>
    <x v="734"/>
    <x v="33"/>
    <n v="4"/>
    <x v="15"/>
  </r>
  <r>
    <x v="742"/>
    <n v="47"/>
    <x v="0"/>
    <x v="2"/>
    <x v="274"/>
    <s v="Allergy"/>
    <x v="735"/>
    <x v="2"/>
    <n v="4"/>
    <x v="20"/>
  </r>
  <r>
    <x v="743"/>
    <n v="35"/>
    <x v="0"/>
    <x v="0"/>
    <x v="21"/>
    <s v="Infection"/>
    <x v="736"/>
    <x v="39"/>
    <n v="5"/>
    <x v="15"/>
  </r>
  <r>
    <x v="744"/>
    <n v="14"/>
    <x v="1"/>
    <x v="5"/>
    <x v="106"/>
    <s v="Diabetes"/>
    <x v="737"/>
    <x v="41"/>
    <n v="2"/>
    <x v="11"/>
  </r>
  <r>
    <x v="745"/>
    <n v="49"/>
    <x v="0"/>
    <x v="3"/>
    <x v="107"/>
    <s v="Fracture"/>
    <x v="738"/>
    <x v="10"/>
    <n v="4"/>
    <x v="2"/>
  </r>
  <r>
    <x v="746"/>
    <n v="36"/>
    <x v="0"/>
    <x v="5"/>
    <x v="460"/>
    <s v="Migraine"/>
    <x v="739"/>
    <x v="0"/>
    <n v="2"/>
    <x v="10"/>
  </r>
  <r>
    <x v="747"/>
    <n v="4"/>
    <x v="0"/>
    <x v="5"/>
    <x v="461"/>
    <s v="Fracture"/>
    <x v="740"/>
    <x v="35"/>
    <n v="0"/>
    <x v="1"/>
  </r>
  <r>
    <x v="748"/>
    <n v="4"/>
    <x v="1"/>
    <x v="5"/>
    <x v="34"/>
    <s v="Hypertension"/>
    <x v="741"/>
    <x v="34"/>
    <n v="4"/>
    <x v="17"/>
  </r>
  <r>
    <x v="749"/>
    <n v="47"/>
    <x v="0"/>
    <x v="5"/>
    <x v="310"/>
    <s v="Diabetes"/>
    <x v="269"/>
    <x v="53"/>
    <n v="2"/>
    <x v="1"/>
  </r>
  <r>
    <x v="750"/>
    <n v="86"/>
    <x v="0"/>
    <x v="0"/>
    <x v="462"/>
    <s v="Hypertension"/>
    <x v="742"/>
    <x v="40"/>
    <n v="1"/>
    <x v="7"/>
  </r>
  <r>
    <x v="751"/>
    <n v="8"/>
    <x v="0"/>
    <x v="3"/>
    <x v="262"/>
    <s v="Infection"/>
    <x v="743"/>
    <x v="13"/>
    <n v="0"/>
    <x v="18"/>
  </r>
  <r>
    <x v="752"/>
    <n v="17"/>
    <x v="1"/>
    <x v="2"/>
    <x v="282"/>
    <s v="Infection"/>
    <x v="744"/>
    <x v="34"/>
    <n v="1"/>
    <x v="0"/>
  </r>
  <r>
    <x v="753"/>
    <n v="28"/>
    <x v="1"/>
    <x v="0"/>
    <x v="350"/>
    <s v="Hypertension"/>
    <x v="745"/>
    <x v="38"/>
    <n v="4"/>
    <x v="11"/>
  </r>
  <r>
    <x v="754"/>
    <n v="80"/>
    <x v="0"/>
    <x v="5"/>
    <x v="383"/>
    <s v="Diabetes"/>
    <x v="746"/>
    <x v="4"/>
    <n v="3"/>
    <x v="11"/>
  </r>
  <r>
    <x v="755"/>
    <n v="73"/>
    <x v="1"/>
    <x v="2"/>
    <x v="55"/>
    <s v="Allergy"/>
    <x v="747"/>
    <x v="12"/>
    <n v="2"/>
    <x v="21"/>
  </r>
  <r>
    <x v="756"/>
    <n v="48"/>
    <x v="0"/>
    <x v="5"/>
    <x v="197"/>
    <s v="Diabetes"/>
    <x v="748"/>
    <x v="60"/>
    <n v="0"/>
    <x v="14"/>
  </r>
  <r>
    <x v="757"/>
    <n v="57"/>
    <x v="1"/>
    <x v="2"/>
    <x v="318"/>
    <s v="Fracture"/>
    <x v="749"/>
    <x v="18"/>
    <n v="1"/>
    <x v="16"/>
  </r>
  <r>
    <x v="758"/>
    <n v="39"/>
    <x v="1"/>
    <x v="2"/>
    <x v="107"/>
    <s v="Infection"/>
    <x v="750"/>
    <x v="6"/>
    <n v="2"/>
    <x v="2"/>
  </r>
  <r>
    <x v="759"/>
    <n v="72"/>
    <x v="1"/>
    <x v="3"/>
    <x v="175"/>
    <s v="Fracture"/>
    <x v="751"/>
    <x v="7"/>
    <n v="2"/>
    <x v="8"/>
  </r>
  <r>
    <x v="760"/>
    <n v="76"/>
    <x v="0"/>
    <x v="1"/>
    <x v="413"/>
    <s v="Hypertension"/>
    <x v="752"/>
    <x v="48"/>
    <n v="5"/>
    <x v="19"/>
  </r>
  <r>
    <x v="761"/>
    <n v="63"/>
    <x v="1"/>
    <x v="1"/>
    <x v="422"/>
    <s v="Allergy"/>
    <x v="753"/>
    <x v="26"/>
    <n v="0"/>
    <x v="14"/>
  </r>
  <r>
    <x v="762"/>
    <n v="90"/>
    <x v="0"/>
    <x v="1"/>
    <x v="387"/>
    <s v="Hypertension"/>
    <x v="754"/>
    <x v="1"/>
    <n v="5"/>
    <x v="20"/>
  </r>
  <r>
    <x v="763"/>
    <n v="33"/>
    <x v="1"/>
    <x v="2"/>
    <x v="463"/>
    <s v="Allergy"/>
    <x v="755"/>
    <x v="7"/>
    <n v="4"/>
    <x v="14"/>
  </r>
  <r>
    <x v="764"/>
    <n v="45"/>
    <x v="0"/>
    <x v="4"/>
    <x v="111"/>
    <s v="Fracture"/>
    <x v="756"/>
    <x v="46"/>
    <n v="1"/>
    <x v="21"/>
  </r>
  <r>
    <x v="765"/>
    <n v="66"/>
    <x v="0"/>
    <x v="3"/>
    <x v="124"/>
    <s v="Fracture"/>
    <x v="757"/>
    <x v="9"/>
    <n v="1"/>
    <x v="13"/>
  </r>
  <r>
    <x v="766"/>
    <n v="35"/>
    <x v="1"/>
    <x v="2"/>
    <x v="464"/>
    <s v="Hypertension"/>
    <x v="758"/>
    <x v="44"/>
    <n v="4"/>
    <x v="13"/>
  </r>
  <r>
    <x v="767"/>
    <n v="52"/>
    <x v="1"/>
    <x v="3"/>
    <x v="319"/>
    <s v="Allergy"/>
    <x v="759"/>
    <x v="43"/>
    <n v="4"/>
    <x v="11"/>
  </r>
  <r>
    <x v="768"/>
    <n v="87"/>
    <x v="1"/>
    <x v="3"/>
    <x v="320"/>
    <s v="Migraine"/>
    <x v="760"/>
    <x v="30"/>
    <n v="2"/>
    <x v="3"/>
  </r>
  <r>
    <x v="769"/>
    <n v="32"/>
    <x v="1"/>
    <x v="2"/>
    <x v="409"/>
    <s v="Diabetes"/>
    <x v="761"/>
    <x v="16"/>
    <n v="5"/>
    <x v="21"/>
  </r>
  <r>
    <x v="770"/>
    <n v="72"/>
    <x v="1"/>
    <x v="2"/>
    <x v="465"/>
    <s v="Diabetes"/>
    <x v="762"/>
    <x v="43"/>
    <n v="4"/>
    <x v="13"/>
  </r>
  <r>
    <x v="771"/>
    <n v="58"/>
    <x v="0"/>
    <x v="0"/>
    <x v="363"/>
    <s v="Allergy"/>
    <x v="763"/>
    <x v="48"/>
    <n v="0"/>
    <x v="21"/>
  </r>
  <r>
    <x v="772"/>
    <n v="10"/>
    <x v="0"/>
    <x v="3"/>
    <x v="407"/>
    <s v="Fracture"/>
    <x v="764"/>
    <x v="42"/>
    <n v="3"/>
    <x v="11"/>
  </r>
  <r>
    <x v="773"/>
    <n v="19"/>
    <x v="0"/>
    <x v="4"/>
    <x v="129"/>
    <s v="Allergy"/>
    <x v="765"/>
    <x v="38"/>
    <n v="2"/>
    <x v="0"/>
  </r>
  <r>
    <x v="774"/>
    <n v="39"/>
    <x v="0"/>
    <x v="1"/>
    <x v="291"/>
    <s v="Hypertension"/>
    <x v="766"/>
    <x v="17"/>
    <n v="5"/>
    <x v="20"/>
  </r>
  <r>
    <x v="775"/>
    <n v="85"/>
    <x v="0"/>
    <x v="1"/>
    <x v="466"/>
    <s v="Fracture"/>
    <x v="767"/>
    <x v="19"/>
    <n v="3"/>
    <x v="9"/>
  </r>
  <r>
    <x v="776"/>
    <n v="55"/>
    <x v="1"/>
    <x v="5"/>
    <x v="289"/>
    <s v="Infection"/>
    <x v="768"/>
    <x v="11"/>
    <n v="4"/>
    <x v="0"/>
  </r>
  <r>
    <x v="777"/>
    <n v="75"/>
    <x v="0"/>
    <x v="3"/>
    <x v="199"/>
    <s v="Migraine"/>
    <x v="769"/>
    <x v="9"/>
    <n v="3"/>
    <x v="3"/>
  </r>
  <r>
    <x v="778"/>
    <n v="75"/>
    <x v="0"/>
    <x v="0"/>
    <x v="467"/>
    <s v="Hypertension"/>
    <x v="770"/>
    <x v="55"/>
    <n v="2"/>
    <x v="5"/>
  </r>
  <r>
    <x v="779"/>
    <n v="3"/>
    <x v="1"/>
    <x v="4"/>
    <x v="396"/>
    <s v="Migraine"/>
    <x v="771"/>
    <x v="11"/>
    <n v="4"/>
    <x v="16"/>
  </r>
  <r>
    <x v="780"/>
    <n v="19"/>
    <x v="0"/>
    <x v="5"/>
    <x v="422"/>
    <s v="Fracture"/>
    <x v="772"/>
    <x v="17"/>
    <n v="5"/>
    <x v="14"/>
  </r>
  <r>
    <x v="781"/>
    <n v="21"/>
    <x v="0"/>
    <x v="4"/>
    <x v="60"/>
    <s v="Infection"/>
    <x v="773"/>
    <x v="18"/>
    <n v="2"/>
    <x v="0"/>
  </r>
  <r>
    <x v="782"/>
    <n v="90"/>
    <x v="1"/>
    <x v="1"/>
    <x v="129"/>
    <s v="Allergy"/>
    <x v="774"/>
    <x v="20"/>
    <n v="1"/>
    <x v="0"/>
  </r>
  <r>
    <x v="783"/>
    <n v="44"/>
    <x v="1"/>
    <x v="3"/>
    <x v="350"/>
    <s v="Diabetes"/>
    <x v="775"/>
    <x v="17"/>
    <n v="0"/>
    <x v="11"/>
  </r>
  <r>
    <x v="784"/>
    <n v="30"/>
    <x v="1"/>
    <x v="1"/>
    <x v="280"/>
    <s v="Hypertension"/>
    <x v="776"/>
    <x v="58"/>
    <n v="3"/>
    <x v="9"/>
  </r>
  <r>
    <x v="785"/>
    <n v="41"/>
    <x v="0"/>
    <x v="2"/>
    <x v="44"/>
    <s v="Allergy"/>
    <x v="777"/>
    <x v="9"/>
    <n v="2"/>
    <x v="20"/>
  </r>
  <r>
    <x v="786"/>
    <n v="7"/>
    <x v="1"/>
    <x v="3"/>
    <x v="468"/>
    <s v="Diabetes"/>
    <x v="778"/>
    <x v="24"/>
    <n v="4"/>
    <x v="8"/>
  </r>
  <r>
    <x v="787"/>
    <n v="32"/>
    <x v="1"/>
    <x v="5"/>
    <x v="47"/>
    <s v="Migraine"/>
    <x v="779"/>
    <x v="3"/>
    <n v="5"/>
    <x v="15"/>
  </r>
  <r>
    <x v="788"/>
    <n v="35"/>
    <x v="1"/>
    <x v="2"/>
    <x v="469"/>
    <s v="Migraine"/>
    <x v="780"/>
    <x v="22"/>
    <n v="5"/>
    <x v="1"/>
  </r>
  <r>
    <x v="789"/>
    <n v="28"/>
    <x v="1"/>
    <x v="2"/>
    <x v="470"/>
    <s v="Infection"/>
    <x v="781"/>
    <x v="27"/>
    <n v="4"/>
    <x v="15"/>
  </r>
  <r>
    <x v="790"/>
    <n v="89"/>
    <x v="1"/>
    <x v="4"/>
    <x v="471"/>
    <s v="Hypertension"/>
    <x v="782"/>
    <x v="3"/>
    <n v="1"/>
    <x v="2"/>
  </r>
  <r>
    <x v="791"/>
    <n v="13"/>
    <x v="1"/>
    <x v="2"/>
    <x v="223"/>
    <s v="Fracture"/>
    <x v="783"/>
    <x v="46"/>
    <n v="2"/>
    <x v="8"/>
  </r>
  <r>
    <x v="792"/>
    <n v="31"/>
    <x v="0"/>
    <x v="1"/>
    <x v="404"/>
    <s v="Diabetes"/>
    <x v="784"/>
    <x v="44"/>
    <n v="0"/>
    <x v="19"/>
  </r>
  <r>
    <x v="793"/>
    <n v="32"/>
    <x v="0"/>
    <x v="3"/>
    <x v="183"/>
    <s v="Hypertension"/>
    <x v="785"/>
    <x v="23"/>
    <n v="2"/>
    <x v="6"/>
  </r>
  <r>
    <x v="794"/>
    <n v="23"/>
    <x v="1"/>
    <x v="0"/>
    <x v="435"/>
    <s v="Fracture"/>
    <x v="786"/>
    <x v="47"/>
    <n v="1"/>
    <x v="18"/>
  </r>
  <r>
    <x v="795"/>
    <n v="48"/>
    <x v="0"/>
    <x v="1"/>
    <x v="23"/>
    <s v="Allergy"/>
    <x v="787"/>
    <x v="5"/>
    <n v="3"/>
    <x v="16"/>
  </r>
  <r>
    <x v="796"/>
    <n v="13"/>
    <x v="0"/>
    <x v="4"/>
    <x v="472"/>
    <s v="Infection"/>
    <x v="788"/>
    <x v="42"/>
    <n v="2"/>
    <x v="5"/>
  </r>
  <r>
    <x v="797"/>
    <n v="3"/>
    <x v="0"/>
    <x v="0"/>
    <x v="473"/>
    <s v="Diabetes"/>
    <x v="789"/>
    <x v="18"/>
    <n v="4"/>
    <x v="15"/>
  </r>
  <r>
    <x v="798"/>
    <n v="78"/>
    <x v="1"/>
    <x v="3"/>
    <x v="474"/>
    <s v="Fracture"/>
    <x v="790"/>
    <x v="30"/>
    <n v="5"/>
    <x v="0"/>
  </r>
  <r>
    <x v="799"/>
    <n v="28"/>
    <x v="0"/>
    <x v="1"/>
    <x v="475"/>
    <s v="Migraine"/>
    <x v="791"/>
    <x v="13"/>
    <n v="3"/>
    <x v="16"/>
  </r>
  <r>
    <x v="800"/>
    <n v="68"/>
    <x v="0"/>
    <x v="4"/>
    <x v="123"/>
    <s v="Fracture"/>
    <x v="792"/>
    <x v="16"/>
    <n v="1"/>
    <x v="7"/>
  </r>
  <r>
    <x v="801"/>
    <n v="8"/>
    <x v="0"/>
    <x v="4"/>
    <x v="436"/>
    <s v="Infection"/>
    <x v="793"/>
    <x v="45"/>
    <n v="4"/>
    <x v="21"/>
  </r>
  <r>
    <x v="802"/>
    <n v="66"/>
    <x v="1"/>
    <x v="3"/>
    <x v="476"/>
    <s v="Fracture"/>
    <x v="794"/>
    <x v="46"/>
    <n v="0"/>
    <x v="20"/>
  </r>
  <r>
    <x v="803"/>
    <n v="79"/>
    <x v="0"/>
    <x v="2"/>
    <x v="477"/>
    <s v="Hypertension"/>
    <x v="795"/>
    <x v="5"/>
    <n v="2"/>
    <x v="7"/>
  </r>
  <r>
    <x v="804"/>
    <n v="49"/>
    <x v="1"/>
    <x v="3"/>
    <x v="275"/>
    <s v="Fracture"/>
    <x v="796"/>
    <x v="35"/>
    <n v="5"/>
    <x v="14"/>
  </r>
  <r>
    <x v="805"/>
    <n v="61"/>
    <x v="1"/>
    <x v="4"/>
    <x v="478"/>
    <s v="Fracture"/>
    <x v="797"/>
    <x v="24"/>
    <n v="2"/>
    <x v="5"/>
  </r>
  <r>
    <x v="806"/>
    <n v="68"/>
    <x v="1"/>
    <x v="5"/>
    <x v="479"/>
    <s v="Infection"/>
    <x v="798"/>
    <x v="1"/>
    <n v="1"/>
    <x v="18"/>
  </r>
  <r>
    <x v="807"/>
    <n v="3"/>
    <x v="1"/>
    <x v="1"/>
    <x v="480"/>
    <s v="Migraine"/>
    <x v="799"/>
    <x v="39"/>
    <n v="0"/>
    <x v="6"/>
  </r>
  <r>
    <x v="808"/>
    <n v="15"/>
    <x v="0"/>
    <x v="3"/>
    <x v="481"/>
    <s v="Fracture"/>
    <x v="800"/>
    <x v="54"/>
    <n v="4"/>
    <x v="2"/>
  </r>
  <r>
    <x v="809"/>
    <n v="41"/>
    <x v="1"/>
    <x v="4"/>
    <x v="30"/>
    <s v="Diabetes"/>
    <x v="801"/>
    <x v="32"/>
    <n v="2"/>
    <x v="9"/>
  </r>
  <r>
    <x v="810"/>
    <n v="47"/>
    <x v="1"/>
    <x v="2"/>
    <x v="482"/>
    <s v="Infection"/>
    <x v="802"/>
    <x v="37"/>
    <n v="1"/>
    <x v="17"/>
  </r>
  <r>
    <x v="811"/>
    <n v="54"/>
    <x v="1"/>
    <x v="5"/>
    <x v="463"/>
    <s v="Infection"/>
    <x v="803"/>
    <x v="2"/>
    <n v="0"/>
    <x v="14"/>
  </r>
  <r>
    <x v="812"/>
    <n v="6"/>
    <x v="1"/>
    <x v="3"/>
    <x v="293"/>
    <s v="Diabetes"/>
    <x v="804"/>
    <x v="43"/>
    <n v="3"/>
    <x v="4"/>
  </r>
  <r>
    <x v="813"/>
    <n v="53"/>
    <x v="0"/>
    <x v="0"/>
    <x v="108"/>
    <s v="Migraine"/>
    <x v="805"/>
    <x v="19"/>
    <n v="5"/>
    <x v="2"/>
  </r>
  <r>
    <x v="814"/>
    <n v="50"/>
    <x v="0"/>
    <x v="3"/>
    <x v="82"/>
    <s v="Allergy"/>
    <x v="806"/>
    <x v="55"/>
    <n v="0"/>
    <x v="22"/>
  </r>
  <r>
    <x v="815"/>
    <n v="27"/>
    <x v="1"/>
    <x v="4"/>
    <x v="276"/>
    <s v="Infection"/>
    <x v="807"/>
    <x v="37"/>
    <n v="1"/>
    <x v="10"/>
  </r>
  <r>
    <x v="816"/>
    <n v="54"/>
    <x v="1"/>
    <x v="2"/>
    <x v="483"/>
    <s v="Diabetes"/>
    <x v="808"/>
    <x v="3"/>
    <n v="2"/>
    <x v="15"/>
  </r>
  <r>
    <x v="817"/>
    <n v="71"/>
    <x v="1"/>
    <x v="0"/>
    <x v="359"/>
    <s v="Migraine"/>
    <x v="809"/>
    <x v="6"/>
    <n v="3"/>
    <x v="16"/>
  </r>
  <r>
    <x v="818"/>
    <n v="85"/>
    <x v="0"/>
    <x v="1"/>
    <x v="161"/>
    <s v="Migraine"/>
    <x v="355"/>
    <x v="56"/>
    <n v="5"/>
    <x v="0"/>
  </r>
  <r>
    <x v="819"/>
    <n v="63"/>
    <x v="1"/>
    <x v="2"/>
    <x v="456"/>
    <s v="Allergy"/>
    <x v="810"/>
    <x v="46"/>
    <n v="3"/>
    <x v="20"/>
  </r>
  <r>
    <x v="820"/>
    <n v="32"/>
    <x v="1"/>
    <x v="2"/>
    <x v="67"/>
    <s v="Infection"/>
    <x v="178"/>
    <x v="59"/>
    <n v="4"/>
    <x v="5"/>
  </r>
  <r>
    <x v="821"/>
    <n v="84"/>
    <x v="0"/>
    <x v="1"/>
    <x v="109"/>
    <s v="Migraine"/>
    <x v="811"/>
    <x v="36"/>
    <n v="0"/>
    <x v="19"/>
  </r>
  <r>
    <x v="822"/>
    <n v="72"/>
    <x v="0"/>
    <x v="1"/>
    <x v="11"/>
    <s v="Infection"/>
    <x v="812"/>
    <x v="58"/>
    <n v="5"/>
    <x v="10"/>
  </r>
  <r>
    <x v="823"/>
    <n v="71"/>
    <x v="0"/>
    <x v="4"/>
    <x v="174"/>
    <s v="Allergy"/>
    <x v="813"/>
    <x v="54"/>
    <n v="5"/>
    <x v="22"/>
  </r>
  <r>
    <x v="824"/>
    <n v="51"/>
    <x v="1"/>
    <x v="2"/>
    <x v="484"/>
    <s v="Fracture"/>
    <x v="814"/>
    <x v="32"/>
    <n v="5"/>
    <x v="1"/>
  </r>
  <r>
    <x v="825"/>
    <n v="68"/>
    <x v="1"/>
    <x v="0"/>
    <x v="56"/>
    <s v="Diabetes"/>
    <x v="815"/>
    <x v="42"/>
    <n v="0"/>
    <x v="8"/>
  </r>
  <r>
    <x v="826"/>
    <n v="82"/>
    <x v="1"/>
    <x v="3"/>
    <x v="338"/>
    <s v="Fracture"/>
    <x v="816"/>
    <x v="54"/>
    <n v="1"/>
    <x v="12"/>
  </r>
  <r>
    <x v="827"/>
    <n v="11"/>
    <x v="0"/>
    <x v="5"/>
    <x v="315"/>
    <s v="Hypertension"/>
    <x v="817"/>
    <x v="52"/>
    <n v="3"/>
    <x v="12"/>
  </r>
  <r>
    <x v="828"/>
    <n v="71"/>
    <x v="0"/>
    <x v="4"/>
    <x v="444"/>
    <s v="Hypertension"/>
    <x v="818"/>
    <x v="1"/>
    <n v="0"/>
    <x v="21"/>
  </r>
  <r>
    <x v="829"/>
    <n v="6"/>
    <x v="1"/>
    <x v="2"/>
    <x v="485"/>
    <s v="Hypertension"/>
    <x v="819"/>
    <x v="35"/>
    <n v="4"/>
    <x v="10"/>
  </r>
  <r>
    <x v="830"/>
    <n v="31"/>
    <x v="1"/>
    <x v="4"/>
    <x v="486"/>
    <s v="Hypertension"/>
    <x v="820"/>
    <x v="37"/>
    <n v="3"/>
    <x v="16"/>
  </r>
  <r>
    <x v="831"/>
    <n v="55"/>
    <x v="1"/>
    <x v="2"/>
    <x v="331"/>
    <s v="Infection"/>
    <x v="821"/>
    <x v="21"/>
    <n v="1"/>
    <x v="20"/>
  </r>
  <r>
    <x v="832"/>
    <n v="52"/>
    <x v="1"/>
    <x v="0"/>
    <x v="29"/>
    <s v="Diabetes"/>
    <x v="822"/>
    <x v="59"/>
    <n v="1"/>
    <x v="14"/>
  </r>
  <r>
    <x v="833"/>
    <n v="70"/>
    <x v="1"/>
    <x v="5"/>
    <x v="8"/>
    <s v="Allergy"/>
    <x v="823"/>
    <x v="5"/>
    <n v="5"/>
    <x v="7"/>
  </r>
  <r>
    <x v="834"/>
    <n v="2"/>
    <x v="0"/>
    <x v="3"/>
    <x v="336"/>
    <s v="Migraine"/>
    <x v="824"/>
    <x v="5"/>
    <n v="5"/>
    <x v="2"/>
  </r>
  <r>
    <x v="835"/>
    <n v="13"/>
    <x v="0"/>
    <x v="1"/>
    <x v="378"/>
    <s v="Allergy"/>
    <x v="825"/>
    <x v="1"/>
    <n v="0"/>
    <x v="2"/>
  </r>
  <r>
    <x v="836"/>
    <n v="60"/>
    <x v="0"/>
    <x v="4"/>
    <x v="145"/>
    <s v="Allergy"/>
    <x v="826"/>
    <x v="37"/>
    <n v="3"/>
    <x v="20"/>
  </r>
  <r>
    <x v="837"/>
    <n v="72"/>
    <x v="1"/>
    <x v="4"/>
    <x v="96"/>
    <s v="Allergy"/>
    <x v="827"/>
    <x v="0"/>
    <n v="2"/>
    <x v="16"/>
  </r>
  <r>
    <x v="838"/>
    <n v="54"/>
    <x v="1"/>
    <x v="2"/>
    <x v="120"/>
    <s v="Hypertension"/>
    <x v="828"/>
    <x v="21"/>
    <n v="2"/>
    <x v="19"/>
  </r>
  <r>
    <x v="839"/>
    <n v="13"/>
    <x v="0"/>
    <x v="3"/>
    <x v="487"/>
    <s v="Allergy"/>
    <x v="829"/>
    <x v="54"/>
    <n v="2"/>
    <x v="15"/>
  </r>
  <r>
    <x v="840"/>
    <n v="62"/>
    <x v="1"/>
    <x v="5"/>
    <x v="488"/>
    <s v="Infection"/>
    <x v="830"/>
    <x v="56"/>
    <n v="2"/>
    <x v="20"/>
  </r>
  <r>
    <x v="841"/>
    <n v="34"/>
    <x v="0"/>
    <x v="4"/>
    <x v="489"/>
    <s v="Allergy"/>
    <x v="831"/>
    <x v="26"/>
    <n v="3"/>
    <x v="4"/>
  </r>
  <r>
    <x v="842"/>
    <n v="57"/>
    <x v="0"/>
    <x v="5"/>
    <x v="1"/>
    <s v="Diabetes"/>
    <x v="832"/>
    <x v="58"/>
    <n v="5"/>
    <x v="1"/>
  </r>
  <r>
    <x v="843"/>
    <n v="33"/>
    <x v="0"/>
    <x v="4"/>
    <x v="490"/>
    <s v="Diabetes"/>
    <x v="833"/>
    <x v="19"/>
    <n v="1"/>
    <x v="13"/>
  </r>
  <r>
    <x v="844"/>
    <n v="50"/>
    <x v="1"/>
    <x v="2"/>
    <x v="408"/>
    <s v="Infection"/>
    <x v="834"/>
    <x v="48"/>
    <n v="4"/>
    <x v="18"/>
  </r>
  <r>
    <x v="845"/>
    <n v="60"/>
    <x v="0"/>
    <x v="0"/>
    <x v="45"/>
    <s v="Infection"/>
    <x v="835"/>
    <x v="38"/>
    <n v="5"/>
    <x v="14"/>
  </r>
  <r>
    <x v="846"/>
    <n v="37"/>
    <x v="0"/>
    <x v="2"/>
    <x v="491"/>
    <s v="Fracture"/>
    <x v="836"/>
    <x v="23"/>
    <n v="2"/>
    <x v="1"/>
  </r>
  <r>
    <x v="847"/>
    <n v="76"/>
    <x v="0"/>
    <x v="4"/>
    <x v="492"/>
    <s v="Diabetes"/>
    <x v="837"/>
    <x v="59"/>
    <n v="1"/>
    <x v="18"/>
  </r>
  <r>
    <x v="848"/>
    <n v="27"/>
    <x v="0"/>
    <x v="5"/>
    <x v="293"/>
    <s v="Fracture"/>
    <x v="838"/>
    <x v="53"/>
    <n v="5"/>
    <x v="4"/>
  </r>
  <r>
    <x v="849"/>
    <n v="84"/>
    <x v="1"/>
    <x v="3"/>
    <x v="157"/>
    <s v="Diabetes"/>
    <x v="839"/>
    <x v="39"/>
    <n v="4"/>
    <x v="18"/>
  </r>
  <r>
    <x v="850"/>
    <n v="2"/>
    <x v="0"/>
    <x v="5"/>
    <x v="366"/>
    <s v="Infection"/>
    <x v="840"/>
    <x v="39"/>
    <n v="3"/>
    <x v="0"/>
  </r>
  <r>
    <x v="851"/>
    <n v="14"/>
    <x v="1"/>
    <x v="1"/>
    <x v="262"/>
    <s v="Diabetes"/>
    <x v="841"/>
    <x v="26"/>
    <n v="1"/>
    <x v="18"/>
  </r>
  <r>
    <x v="852"/>
    <n v="61"/>
    <x v="1"/>
    <x v="5"/>
    <x v="493"/>
    <s v="Hypertension"/>
    <x v="842"/>
    <x v="42"/>
    <n v="1"/>
    <x v="4"/>
  </r>
  <r>
    <x v="853"/>
    <n v="88"/>
    <x v="1"/>
    <x v="3"/>
    <x v="269"/>
    <s v="Allergy"/>
    <x v="843"/>
    <x v="24"/>
    <n v="4"/>
    <x v="5"/>
  </r>
  <r>
    <x v="854"/>
    <n v="70"/>
    <x v="0"/>
    <x v="1"/>
    <x v="494"/>
    <s v="Diabetes"/>
    <x v="844"/>
    <x v="19"/>
    <n v="2"/>
    <x v="6"/>
  </r>
  <r>
    <x v="855"/>
    <n v="55"/>
    <x v="1"/>
    <x v="5"/>
    <x v="445"/>
    <s v="Fracture"/>
    <x v="845"/>
    <x v="1"/>
    <n v="1"/>
    <x v="3"/>
  </r>
  <r>
    <x v="856"/>
    <n v="59"/>
    <x v="0"/>
    <x v="3"/>
    <x v="495"/>
    <s v="Diabetes"/>
    <x v="846"/>
    <x v="23"/>
    <n v="5"/>
    <x v="21"/>
  </r>
  <r>
    <x v="857"/>
    <n v="12"/>
    <x v="1"/>
    <x v="1"/>
    <x v="475"/>
    <s v="Migraine"/>
    <x v="847"/>
    <x v="30"/>
    <n v="3"/>
    <x v="16"/>
  </r>
  <r>
    <x v="858"/>
    <n v="74"/>
    <x v="1"/>
    <x v="3"/>
    <x v="496"/>
    <s v="Infection"/>
    <x v="618"/>
    <x v="29"/>
    <n v="2"/>
    <x v="7"/>
  </r>
  <r>
    <x v="859"/>
    <n v="8"/>
    <x v="0"/>
    <x v="5"/>
    <x v="19"/>
    <s v="Fracture"/>
    <x v="848"/>
    <x v="40"/>
    <n v="1"/>
    <x v="1"/>
  </r>
  <r>
    <x v="860"/>
    <n v="16"/>
    <x v="0"/>
    <x v="2"/>
    <x v="220"/>
    <s v="Migraine"/>
    <x v="366"/>
    <x v="26"/>
    <n v="5"/>
    <x v="4"/>
  </r>
  <r>
    <x v="861"/>
    <n v="59"/>
    <x v="1"/>
    <x v="4"/>
    <x v="196"/>
    <s v="Fracture"/>
    <x v="849"/>
    <x v="22"/>
    <n v="1"/>
    <x v="14"/>
  </r>
  <r>
    <x v="862"/>
    <n v="50"/>
    <x v="1"/>
    <x v="2"/>
    <x v="126"/>
    <s v="Infection"/>
    <x v="850"/>
    <x v="35"/>
    <n v="2"/>
    <x v="19"/>
  </r>
  <r>
    <x v="863"/>
    <n v="30"/>
    <x v="1"/>
    <x v="4"/>
    <x v="167"/>
    <s v="Hypertension"/>
    <x v="851"/>
    <x v="13"/>
    <n v="0"/>
    <x v="13"/>
  </r>
  <r>
    <x v="864"/>
    <n v="64"/>
    <x v="0"/>
    <x v="0"/>
    <x v="497"/>
    <s v="Fracture"/>
    <x v="852"/>
    <x v="53"/>
    <n v="4"/>
    <x v="13"/>
  </r>
  <r>
    <x v="865"/>
    <n v="13"/>
    <x v="0"/>
    <x v="3"/>
    <x v="115"/>
    <s v="Infection"/>
    <x v="853"/>
    <x v="59"/>
    <n v="5"/>
    <x v="18"/>
  </r>
  <r>
    <x v="866"/>
    <n v="45"/>
    <x v="0"/>
    <x v="3"/>
    <x v="498"/>
    <s v="Allergy"/>
    <x v="854"/>
    <x v="32"/>
    <n v="1"/>
    <x v="9"/>
  </r>
  <r>
    <x v="867"/>
    <n v="4"/>
    <x v="1"/>
    <x v="4"/>
    <x v="499"/>
    <s v="Migraine"/>
    <x v="855"/>
    <x v="3"/>
    <n v="2"/>
    <x v="15"/>
  </r>
  <r>
    <x v="868"/>
    <n v="2"/>
    <x v="0"/>
    <x v="2"/>
    <x v="93"/>
    <s v="Allergy"/>
    <x v="856"/>
    <x v="36"/>
    <n v="1"/>
    <x v="14"/>
  </r>
  <r>
    <x v="869"/>
    <n v="59"/>
    <x v="0"/>
    <x v="2"/>
    <x v="84"/>
    <s v="Allergy"/>
    <x v="857"/>
    <x v="53"/>
    <n v="5"/>
    <x v="19"/>
  </r>
  <r>
    <x v="870"/>
    <n v="42"/>
    <x v="0"/>
    <x v="4"/>
    <x v="193"/>
    <s v="Diabetes"/>
    <x v="858"/>
    <x v="24"/>
    <n v="3"/>
    <x v="17"/>
  </r>
  <r>
    <x v="871"/>
    <n v="65"/>
    <x v="0"/>
    <x v="1"/>
    <x v="500"/>
    <s v="Migraine"/>
    <x v="859"/>
    <x v="15"/>
    <n v="4"/>
    <x v="16"/>
  </r>
  <r>
    <x v="872"/>
    <n v="86"/>
    <x v="1"/>
    <x v="4"/>
    <x v="244"/>
    <s v="Fracture"/>
    <x v="860"/>
    <x v="52"/>
    <n v="0"/>
    <x v="13"/>
  </r>
  <r>
    <x v="873"/>
    <n v="6"/>
    <x v="1"/>
    <x v="2"/>
    <x v="359"/>
    <s v="Infection"/>
    <x v="861"/>
    <x v="39"/>
    <n v="3"/>
    <x v="16"/>
  </r>
  <r>
    <x v="874"/>
    <n v="31"/>
    <x v="0"/>
    <x v="2"/>
    <x v="501"/>
    <s v="Migraine"/>
    <x v="862"/>
    <x v="21"/>
    <n v="4"/>
    <x v="16"/>
  </r>
  <r>
    <x v="875"/>
    <n v="90"/>
    <x v="1"/>
    <x v="0"/>
    <x v="502"/>
    <s v="Fracture"/>
    <x v="863"/>
    <x v="17"/>
    <n v="1"/>
    <x v="17"/>
  </r>
  <r>
    <x v="876"/>
    <n v="46"/>
    <x v="0"/>
    <x v="4"/>
    <x v="297"/>
    <s v="Hypertension"/>
    <x v="864"/>
    <x v="47"/>
    <n v="5"/>
    <x v="3"/>
  </r>
  <r>
    <x v="877"/>
    <n v="71"/>
    <x v="0"/>
    <x v="5"/>
    <x v="66"/>
    <s v="Migraine"/>
    <x v="865"/>
    <x v="59"/>
    <n v="4"/>
    <x v="9"/>
  </r>
  <r>
    <x v="878"/>
    <n v="56"/>
    <x v="1"/>
    <x v="4"/>
    <x v="503"/>
    <s v="Migraine"/>
    <x v="866"/>
    <x v="19"/>
    <n v="4"/>
    <x v="7"/>
  </r>
  <r>
    <x v="879"/>
    <n v="24"/>
    <x v="1"/>
    <x v="4"/>
    <x v="219"/>
    <s v="Allergy"/>
    <x v="867"/>
    <x v="49"/>
    <n v="0"/>
    <x v="16"/>
  </r>
  <r>
    <x v="880"/>
    <n v="20"/>
    <x v="1"/>
    <x v="2"/>
    <x v="11"/>
    <s v="Diabetes"/>
    <x v="868"/>
    <x v="43"/>
    <n v="5"/>
    <x v="10"/>
  </r>
  <r>
    <x v="881"/>
    <n v="11"/>
    <x v="0"/>
    <x v="1"/>
    <x v="39"/>
    <s v="Migraine"/>
    <x v="869"/>
    <x v="38"/>
    <n v="2"/>
    <x v="3"/>
  </r>
  <r>
    <x v="882"/>
    <n v="82"/>
    <x v="1"/>
    <x v="0"/>
    <x v="196"/>
    <s v="Hypertension"/>
    <x v="870"/>
    <x v="42"/>
    <n v="3"/>
    <x v="14"/>
  </r>
  <r>
    <x v="883"/>
    <n v="70"/>
    <x v="0"/>
    <x v="5"/>
    <x v="184"/>
    <s v="Fracture"/>
    <x v="871"/>
    <x v="58"/>
    <n v="5"/>
    <x v="17"/>
  </r>
  <r>
    <x v="884"/>
    <n v="48"/>
    <x v="1"/>
    <x v="0"/>
    <x v="504"/>
    <s v="Fracture"/>
    <x v="872"/>
    <x v="0"/>
    <n v="3"/>
    <x v="22"/>
  </r>
  <r>
    <x v="885"/>
    <n v="25"/>
    <x v="1"/>
    <x v="4"/>
    <x v="466"/>
    <s v="Diabetes"/>
    <x v="873"/>
    <x v="11"/>
    <n v="4"/>
    <x v="9"/>
  </r>
  <r>
    <x v="886"/>
    <n v="14"/>
    <x v="1"/>
    <x v="5"/>
    <x v="166"/>
    <s v="Fracture"/>
    <x v="874"/>
    <x v="22"/>
    <n v="0"/>
    <x v="12"/>
  </r>
  <r>
    <x v="887"/>
    <n v="20"/>
    <x v="0"/>
    <x v="1"/>
    <x v="121"/>
    <s v="Fracture"/>
    <x v="875"/>
    <x v="16"/>
    <n v="4"/>
    <x v="12"/>
  </r>
  <r>
    <x v="888"/>
    <n v="7"/>
    <x v="0"/>
    <x v="4"/>
    <x v="207"/>
    <s v="Allergy"/>
    <x v="876"/>
    <x v="13"/>
    <n v="0"/>
    <x v="20"/>
  </r>
  <r>
    <x v="889"/>
    <n v="84"/>
    <x v="1"/>
    <x v="2"/>
    <x v="299"/>
    <s v="Allergy"/>
    <x v="877"/>
    <x v="31"/>
    <n v="1"/>
    <x v="7"/>
  </r>
  <r>
    <x v="890"/>
    <n v="1"/>
    <x v="1"/>
    <x v="4"/>
    <x v="56"/>
    <s v="Fracture"/>
    <x v="878"/>
    <x v="28"/>
    <n v="2"/>
    <x v="8"/>
  </r>
  <r>
    <x v="891"/>
    <n v="58"/>
    <x v="0"/>
    <x v="2"/>
    <x v="505"/>
    <s v="Infection"/>
    <x v="879"/>
    <x v="37"/>
    <n v="0"/>
    <x v="17"/>
  </r>
  <r>
    <x v="892"/>
    <n v="50"/>
    <x v="1"/>
    <x v="5"/>
    <x v="506"/>
    <s v="Infection"/>
    <x v="880"/>
    <x v="56"/>
    <n v="1"/>
    <x v="18"/>
  </r>
  <r>
    <x v="893"/>
    <n v="47"/>
    <x v="0"/>
    <x v="1"/>
    <x v="413"/>
    <s v="Fracture"/>
    <x v="881"/>
    <x v="7"/>
    <n v="1"/>
    <x v="19"/>
  </r>
  <r>
    <x v="894"/>
    <n v="50"/>
    <x v="0"/>
    <x v="5"/>
    <x v="507"/>
    <s v="Migraine"/>
    <x v="882"/>
    <x v="39"/>
    <n v="2"/>
    <x v="0"/>
  </r>
  <r>
    <x v="895"/>
    <n v="46"/>
    <x v="0"/>
    <x v="3"/>
    <x v="361"/>
    <s v="Allergy"/>
    <x v="883"/>
    <x v="1"/>
    <n v="4"/>
    <x v="2"/>
  </r>
  <r>
    <x v="896"/>
    <n v="67"/>
    <x v="0"/>
    <x v="4"/>
    <x v="361"/>
    <s v="Diabetes"/>
    <x v="884"/>
    <x v="0"/>
    <n v="2"/>
    <x v="2"/>
  </r>
  <r>
    <x v="897"/>
    <n v="71"/>
    <x v="0"/>
    <x v="0"/>
    <x v="335"/>
    <s v="Diabetes"/>
    <x v="885"/>
    <x v="2"/>
    <n v="0"/>
    <x v="22"/>
  </r>
  <r>
    <x v="898"/>
    <n v="21"/>
    <x v="1"/>
    <x v="3"/>
    <x v="376"/>
    <s v="Diabetes"/>
    <x v="886"/>
    <x v="21"/>
    <n v="2"/>
    <x v="7"/>
  </r>
  <r>
    <x v="899"/>
    <n v="3"/>
    <x v="0"/>
    <x v="5"/>
    <x v="110"/>
    <s v="Diabetes"/>
    <x v="887"/>
    <x v="49"/>
    <n v="2"/>
    <x v="9"/>
  </r>
  <r>
    <x v="900"/>
    <n v="24"/>
    <x v="1"/>
    <x v="3"/>
    <x v="508"/>
    <s v="Migraine"/>
    <x v="888"/>
    <x v="3"/>
    <n v="5"/>
    <x v="5"/>
  </r>
  <r>
    <x v="901"/>
    <n v="33"/>
    <x v="1"/>
    <x v="5"/>
    <x v="509"/>
    <s v="Infection"/>
    <x v="889"/>
    <x v="41"/>
    <n v="3"/>
    <x v="19"/>
  </r>
  <r>
    <x v="902"/>
    <n v="55"/>
    <x v="1"/>
    <x v="5"/>
    <x v="510"/>
    <s v="Hypertension"/>
    <x v="890"/>
    <x v="48"/>
    <n v="4"/>
    <x v="2"/>
  </r>
  <r>
    <x v="903"/>
    <n v="61"/>
    <x v="1"/>
    <x v="4"/>
    <x v="366"/>
    <s v="Hypertension"/>
    <x v="891"/>
    <x v="21"/>
    <n v="2"/>
    <x v="0"/>
  </r>
  <r>
    <x v="904"/>
    <n v="64"/>
    <x v="1"/>
    <x v="3"/>
    <x v="511"/>
    <s v="Diabetes"/>
    <x v="892"/>
    <x v="14"/>
    <n v="4"/>
    <x v="22"/>
  </r>
  <r>
    <x v="905"/>
    <n v="81"/>
    <x v="0"/>
    <x v="1"/>
    <x v="429"/>
    <s v="Migraine"/>
    <x v="893"/>
    <x v="39"/>
    <n v="5"/>
    <x v="12"/>
  </r>
  <r>
    <x v="906"/>
    <n v="37"/>
    <x v="1"/>
    <x v="1"/>
    <x v="512"/>
    <s v="Diabetes"/>
    <x v="894"/>
    <x v="23"/>
    <n v="3"/>
    <x v="21"/>
  </r>
  <r>
    <x v="907"/>
    <n v="32"/>
    <x v="0"/>
    <x v="1"/>
    <x v="332"/>
    <s v="Infection"/>
    <x v="895"/>
    <x v="14"/>
    <n v="2"/>
    <x v="18"/>
  </r>
  <r>
    <x v="908"/>
    <n v="5"/>
    <x v="1"/>
    <x v="0"/>
    <x v="320"/>
    <s v="Migraine"/>
    <x v="896"/>
    <x v="45"/>
    <n v="1"/>
    <x v="3"/>
  </r>
  <r>
    <x v="909"/>
    <n v="20"/>
    <x v="1"/>
    <x v="0"/>
    <x v="145"/>
    <s v="Hypertension"/>
    <x v="897"/>
    <x v="21"/>
    <n v="5"/>
    <x v="20"/>
  </r>
  <r>
    <x v="910"/>
    <n v="67"/>
    <x v="1"/>
    <x v="2"/>
    <x v="287"/>
    <s v="Diabetes"/>
    <x v="898"/>
    <x v="17"/>
    <n v="2"/>
    <x v="15"/>
  </r>
  <r>
    <x v="911"/>
    <n v="21"/>
    <x v="0"/>
    <x v="5"/>
    <x v="513"/>
    <s v="Migraine"/>
    <x v="899"/>
    <x v="36"/>
    <n v="1"/>
    <x v="12"/>
  </r>
  <r>
    <x v="912"/>
    <n v="85"/>
    <x v="0"/>
    <x v="3"/>
    <x v="276"/>
    <s v="Infection"/>
    <x v="900"/>
    <x v="50"/>
    <n v="4"/>
    <x v="10"/>
  </r>
  <r>
    <x v="913"/>
    <n v="32"/>
    <x v="0"/>
    <x v="1"/>
    <x v="255"/>
    <s v="Infection"/>
    <x v="901"/>
    <x v="23"/>
    <n v="3"/>
    <x v="1"/>
  </r>
  <r>
    <x v="914"/>
    <n v="3"/>
    <x v="1"/>
    <x v="3"/>
    <x v="310"/>
    <s v="Infection"/>
    <x v="902"/>
    <x v="45"/>
    <n v="0"/>
    <x v="1"/>
  </r>
  <r>
    <x v="915"/>
    <n v="30"/>
    <x v="1"/>
    <x v="3"/>
    <x v="222"/>
    <s v="Fracture"/>
    <x v="903"/>
    <x v="12"/>
    <n v="4"/>
    <x v="2"/>
  </r>
  <r>
    <x v="916"/>
    <n v="42"/>
    <x v="1"/>
    <x v="0"/>
    <x v="129"/>
    <s v="Infection"/>
    <x v="904"/>
    <x v="31"/>
    <n v="5"/>
    <x v="0"/>
  </r>
  <r>
    <x v="917"/>
    <n v="84"/>
    <x v="1"/>
    <x v="2"/>
    <x v="9"/>
    <s v="Fracture"/>
    <x v="905"/>
    <x v="46"/>
    <n v="1"/>
    <x v="8"/>
  </r>
  <r>
    <x v="918"/>
    <n v="57"/>
    <x v="1"/>
    <x v="3"/>
    <x v="145"/>
    <s v="Hypertension"/>
    <x v="906"/>
    <x v="34"/>
    <n v="0"/>
    <x v="20"/>
  </r>
  <r>
    <x v="919"/>
    <n v="42"/>
    <x v="0"/>
    <x v="3"/>
    <x v="203"/>
    <s v="Fracture"/>
    <x v="907"/>
    <x v="46"/>
    <n v="0"/>
    <x v="4"/>
  </r>
  <r>
    <x v="920"/>
    <n v="86"/>
    <x v="0"/>
    <x v="3"/>
    <x v="203"/>
    <s v="Migraine"/>
    <x v="908"/>
    <x v="31"/>
    <n v="3"/>
    <x v="4"/>
  </r>
  <r>
    <x v="921"/>
    <n v="67"/>
    <x v="0"/>
    <x v="1"/>
    <x v="28"/>
    <s v="Infection"/>
    <x v="909"/>
    <x v="9"/>
    <n v="0"/>
    <x v="9"/>
  </r>
  <r>
    <x v="922"/>
    <n v="11"/>
    <x v="1"/>
    <x v="5"/>
    <x v="235"/>
    <s v="Infection"/>
    <x v="910"/>
    <x v="45"/>
    <n v="2"/>
    <x v="7"/>
  </r>
  <r>
    <x v="923"/>
    <n v="27"/>
    <x v="1"/>
    <x v="1"/>
    <x v="148"/>
    <s v="Infection"/>
    <x v="911"/>
    <x v="58"/>
    <n v="0"/>
    <x v="10"/>
  </r>
  <r>
    <x v="924"/>
    <n v="53"/>
    <x v="1"/>
    <x v="1"/>
    <x v="441"/>
    <s v="Fracture"/>
    <x v="912"/>
    <x v="33"/>
    <n v="4"/>
    <x v="11"/>
  </r>
  <r>
    <x v="925"/>
    <n v="2"/>
    <x v="1"/>
    <x v="4"/>
    <x v="29"/>
    <s v="Fracture"/>
    <x v="913"/>
    <x v="47"/>
    <n v="2"/>
    <x v="14"/>
  </r>
  <r>
    <x v="926"/>
    <n v="82"/>
    <x v="1"/>
    <x v="4"/>
    <x v="67"/>
    <s v="Fracture"/>
    <x v="914"/>
    <x v="12"/>
    <n v="2"/>
    <x v="5"/>
  </r>
  <r>
    <x v="927"/>
    <n v="2"/>
    <x v="1"/>
    <x v="5"/>
    <x v="406"/>
    <s v="Migraine"/>
    <x v="915"/>
    <x v="28"/>
    <n v="4"/>
    <x v="17"/>
  </r>
  <r>
    <x v="928"/>
    <n v="1"/>
    <x v="0"/>
    <x v="1"/>
    <x v="514"/>
    <s v="Allergy"/>
    <x v="916"/>
    <x v="30"/>
    <n v="0"/>
    <x v="11"/>
  </r>
  <r>
    <x v="929"/>
    <n v="70"/>
    <x v="0"/>
    <x v="5"/>
    <x v="211"/>
    <s v="Hypertension"/>
    <x v="917"/>
    <x v="51"/>
    <n v="1"/>
    <x v="18"/>
  </r>
  <r>
    <x v="930"/>
    <n v="18"/>
    <x v="1"/>
    <x v="4"/>
    <x v="381"/>
    <s v="Allergy"/>
    <x v="918"/>
    <x v="29"/>
    <n v="3"/>
    <x v="21"/>
  </r>
  <r>
    <x v="931"/>
    <n v="69"/>
    <x v="0"/>
    <x v="1"/>
    <x v="515"/>
    <s v="Diabetes"/>
    <x v="919"/>
    <x v="33"/>
    <n v="5"/>
    <x v="15"/>
  </r>
  <r>
    <x v="932"/>
    <n v="21"/>
    <x v="0"/>
    <x v="2"/>
    <x v="516"/>
    <s v="Fracture"/>
    <x v="920"/>
    <x v="31"/>
    <n v="2"/>
    <x v="14"/>
  </r>
  <r>
    <x v="933"/>
    <n v="81"/>
    <x v="1"/>
    <x v="0"/>
    <x v="517"/>
    <s v="Hypertension"/>
    <x v="921"/>
    <x v="10"/>
    <n v="5"/>
    <x v="10"/>
  </r>
  <r>
    <x v="934"/>
    <n v="67"/>
    <x v="0"/>
    <x v="3"/>
    <x v="311"/>
    <s v="Allergy"/>
    <x v="922"/>
    <x v="19"/>
    <n v="0"/>
    <x v="22"/>
  </r>
  <r>
    <x v="935"/>
    <n v="66"/>
    <x v="1"/>
    <x v="0"/>
    <x v="518"/>
    <s v="Fracture"/>
    <x v="923"/>
    <x v="32"/>
    <n v="0"/>
    <x v="9"/>
  </r>
  <r>
    <x v="936"/>
    <n v="40"/>
    <x v="0"/>
    <x v="0"/>
    <x v="519"/>
    <s v="Diabetes"/>
    <x v="924"/>
    <x v="24"/>
    <n v="2"/>
    <x v="6"/>
  </r>
  <r>
    <x v="937"/>
    <n v="3"/>
    <x v="0"/>
    <x v="3"/>
    <x v="520"/>
    <s v="Diabetes"/>
    <x v="925"/>
    <x v="14"/>
    <n v="2"/>
    <x v="20"/>
  </r>
  <r>
    <x v="938"/>
    <n v="20"/>
    <x v="0"/>
    <x v="1"/>
    <x v="124"/>
    <s v="Migraine"/>
    <x v="926"/>
    <x v="27"/>
    <n v="2"/>
    <x v="13"/>
  </r>
  <r>
    <x v="939"/>
    <n v="45"/>
    <x v="0"/>
    <x v="4"/>
    <x v="521"/>
    <s v="Fracture"/>
    <x v="927"/>
    <x v="9"/>
    <n v="5"/>
    <x v="2"/>
  </r>
  <r>
    <x v="940"/>
    <n v="54"/>
    <x v="0"/>
    <x v="1"/>
    <x v="522"/>
    <s v="Migraine"/>
    <x v="928"/>
    <x v="1"/>
    <n v="4"/>
    <x v="19"/>
  </r>
  <r>
    <x v="941"/>
    <n v="23"/>
    <x v="0"/>
    <x v="5"/>
    <x v="262"/>
    <s v="Infection"/>
    <x v="929"/>
    <x v="45"/>
    <n v="5"/>
    <x v="18"/>
  </r>
  <r>
    <x v="942"/>
    <n v="58"/>
    <x v="1"/>
    <x v="5"/>
    <x v="523"/>
    <s v="Fracture"/>
    <x v="903"/>
    <x v="7"/>
    <n v="2"/>
    <x v="15"/>
  </r>
  <r>
    <x v="943"/>
    <n v="3"/>
    <x v="0"/>
    <x v="4"/>
    <x v="356"/>
    <s v="Fracture"/>
    <x v="930"/>
    <x v="59"/>
    <n v="3"/>
    <x v="16"/>
  </r>
  <r>
    <x v="944"/>
    <n v="3"/>
    <x v="1"/>
    <x v="1"/>
    <x v="212"/>
    <s v="Hypertension"/>
    <x v="931"/>
    <x v="60"/>
    <n v="3"/>
    <x v="19"/>
  </r>
  <r>
    <x v="945"/>
    <n v="5"/>
    <x v="1"/>
    <x v="2"/>
    <x v="19"/>
    <s v="Infection"/>
    <x v="932"/>
    <x v="20"/>
    <n v="1"/>
    <x v="1"/>
  </r>
  <r>
    <x v="946"/>
    <n v="69"/>
    <x v="1"/>
    <x v="1"/>
    <x v="74"/>
    <s v="Fracture"/>
    <x v="933"/>
    <x v="18"/>
    <n v="0"/>
    <x v="19"/>
  </r>
  <r>
    <x v="947"/>
    <n v="44"/>
    <x v="1"/>
    <x v="4"/>
    <x v="55"/>
    <s v="Migraine"/>
    <x v="934"/>
    <x v="9"/>
    <n v="3"/>
    <x v="21"/>
  </r>
  <r>
    <x v="948"/>
    <n v="62"/>
    <x v="1"/>
    <x v="3"/>
    <x v="370"/>
    <s v="Hypertension"/>
    <x v="935"/>
    <x v="4"/>
    <n v="0"/>
    <x v="9"/>
  </r>
  <r>
    <x v="949"/>
    <n v="71"/>
    <x v="1"/>
    <x v="1"/>
    <x v="186"/>
    <s v="Diabetes"/>
    <x v="936"/>
    <x v="4"/>
    <n v="2"/>
    <x v="22"/>
  </r>
  <r>
    <x v="950"/>
    <n v="35"/>
    <x v="0"/>
    <x v="2"/>
    <x v="474"/>
    <s v="Fracture"/>
    <x v="937"/>
    <x v="31"/>
    <n v="0"/>
    <x v="0"/>
  </r>
  <r>
    <x v="951"/>
    <n v="87"/>
    <x v="1"/>
    <x v="1"/>
    <x v="402"/>
    <s v="Diabetes"/>
    <x v="938"/>
    <x v="17"/>
    <n v="2"/>
    <x v="13"/>
  </r>
  <r>
    <x v="952"/>
    <n v="79"/>
    <x v="0"/>
    <x v="5"/>
    <x v="164"/>
    <s v="Hypertension"/>
    <x v="939"/>
    <x v="25"/>
    <n v="2"/>
    <x v="13"/>
  </r>
  <r>
    <x v="953"/>
    <n v="76"/>
    <x v="0"/>
    <x v="0"/>
    <x v="454"/>
    <s v="Fracture"/>
    <x v="940"/>
    <x v="47"/>
    <n v="5"/>
    <x v="6"/>
  </r>
  <r>
    <x v="954"/>
    <n v="36"/>
    <x v="0"/>
    <x v="5"/>
    <x v="467"/>
    <s v="Infection"/>
    <x v="941"/>
    <x v="44"/>
    <n v="3"/>
    <x v="5"/>
  </r>
  <r>
    <x v="955"/>
    <n v="24"/>
    <x v="0"/>
    <x v="0"/>
    <x v="54"/>
    <s v="Diabetes"/>
    <x v="942"/>
    <x v="47"/>
    <n v="5"/>
    <x v="15"/>
  </r>
  <r>
    <x v="956"/>
    <n v="48"/>
    <x v="0"/>
    <x v="0"/>
    <x v="425"/>
    <s v="Migraine"/>
    <x v="943"/>
    <x v="22"/>
    <n v="0"/>
    <x v="17"/>
  </r>
  <r>
    <x v="957"/>
    <n v="75"/>
    <x v="1"/>
    <x v="0"/>
    <x v="36"/>
    <s v="Fracture"/>
    <x v="944"/>
    <x v="19"/>
    <n v="5"/>
    <x v="17"/>
  </r>
  <r>
    <x v="958"/>
    <n v="26"/>
    <x v="0"/>
    <x v="2"/>
    <x v="158"/>
    <s v="Fracture"/>
    <x v="945"/>
    <x v="42"/>
    <n v="0"/>
    <x v="20"/>
  </r>
  <r>
    <x v="959"/>
    <n v="54"/>
    <x v="1"/>
    <x v="0"/>
    <x v="102"/>
    <s v="Migraine"/>
    <x v="946"/>
    <x v="22"/>
    <n v="4"/>
    <x v="10"/>
  </r>
  <r>
    <x v="960"/>
    <n v="79"/>
    <x v="1"/>
    <x v="0"/>
    <x v="58"/>
    <s v="Diabetes"/>
    <x v="947"/>
    <x v="7"/>
    <n v="1"/>
    <x v="15"/>
  </r>
  <r>
    <x v="961"/>
    <n v="2"/>
    <x v="0"/>
    <x v="3"/>
    <x v="81"/>
    <s v="Allergy"/>
    <x v="948"/>
    <x v="40"/>
    <n v="3"/>
    <x v="1"/>
  </r>
  <r>
    <x v="962"/>
    <n v="65"/>
    <x v="1"/>
    <x v="1"/>
    <x v="128"/>
    <s v="Diabetes"/>
    <x v="949"/>
    <x v="47"/>
    <n v="4"/>
    <x v="10"/>
  </r>
  <r>
    <x v="963"/>
    <n v="83"/>
    <x v="0"/>
    <x v="1"/>
    <x v="137"/>
    <s v="Hypertension"/>
    <x v="950"/>
    <x v="28"/>
    <n v="3"/>
    <x v="11"/>
  </r>
  <r>
    <x v="964"/>
    <n v="19"/>
    <x v="1"/>
    <x v="3"/>
    <x v="34"/>
    <s v="Migraine"/>
    <x v="951"/>
    <x v="42"/>
    <n v="5"/>
    <x v="17"/>
  </r>
  <r>
    <x v="965"/>
    <n v="61"/>
    <x v="0"/>
    <x v="3"/>
    <x v="203"/>
    <s v="Migraine"/>
    <x v="952"/>
    <x v="3"/>
    <n v="4"/>
    <x v="4"/>
  </r>
  <r>
    <x v="966"/>
    <n v="83"/>
    <x v="1"/>
    <x v="1"/>
    <x v="59"/>
    <s v="Fracture"/>
    <x v="953"/>
    <x v="33"/>
    <n v="3"/>
    <x v="0"/>
  </r>
  <r>
    <x v="967"/>
    <n v="48"/>
    <x v="1"/>
    <x v="3"/>
    <x v="171"/>
    <s v="Migraine"/>
    <x v="403"/>
    <x v="48"/>
    <n v="5"/>
    <x v="13"/>
  </r>
  <r>
    <x v="968"/>
    <n v="49"/>
    <x v="1"/>
    <x v="5"/>
    <x v="524"/>
    <s v="Migraine"/>
    <x v="954"/>
    <x v="51"/>
    <n v="4"/>
    <x v="5"/>
  </r>
  <r>
    <x v="969"/>
    <n v="30"/>
    <x v="0"/>
    <x v="1"/>
    <x v="507"/>
    <s v="Allergy"/>
    <x v="955"/>
    <x v="33"/>
    <n v="5"/>
    <x v="0"/>
  </r>
  <r>
    <x v="970"/>
    <n v="23"/>
    <x v="1"/>
    <x v="0"/>
    <x v="525"/>
    <s v="Infection"/>
    <x v="956"/>
    <x v="38"/>
    <n v="3"/>
    <x v="7"/>
  </r>
  <r>
    <x v="971"/>
    <n v="25"/>
    <x v="0"/>
    <x v="0"/>
    <x v="44"/>
    <s v="Allergy"/>
    <x v="957"/>
    <x v="58"/>
    <n v="3"/>
    <x v="20"/>
  </r>
  <r>
    <x v="972"/>
    <n v="52"/>
    <x v="1"/>
    <x v="3"/>
    <x v="526"/>
    <s v="Allergy"/>
    <x v="958"/>
    <x v="6"/>
    <n v="3"/>
    <x v="1"/>
  </r>
  <r>
    <x v="973"/>
    <n v="53"/>
    <x v="0"/>
    <x v="4"/>
    <x v="474"/>
    <s v="Migraine"/>
    <x v="959"/>
    <x v="54"/>
    <n v="4"/>
    <x v="0"/>
  </r>
  <r>
    <x v="974"/>
    <n v="21"/>
    <x v="1"/>
    <x v="1"/>
    <x v="527"/>
    <s v="Allergy"/>
    <x v="960"/>
    <x v="41"/>
    <n v="5"/>
    <x v="9"/>
  </r>
  <r>
    <x v="975"/>
    <n v="54"/>
    <x v="1"/>
    <x v="3"/>
    <x v="528"/>
    <s v="Migraine"/>
    <x v="961"/>
    <x v="49"/>
    <n v="1"/>
    <x v="4"/>
  </r>
  <r>
    <x v="976"/>
    <n v="48"/>
    <x v="1"/>
    <x v="4"/>
    <x v="96"/>
    <s v="Diabetes"/>
    <x v="962"/>
    <x v="4"/>
    <n v="4"/>
    <x v="16"/>
  </r>
  <r>
    <x v="977"/>
    <n v="71"/>
    <x v="0"/>
    <x v="0"/>
    <x v="529"/>
    <s v="Allergy"/>
    <x v="963"/>
    <x v="17"/>
    <n v="2"/>
    <x v="1"/>
  </r>
  <r>
    <x v="978"/>
    <n v="25"/>
    <x v="1"/>
    <x v="4"/>
    <x v="72"/>
    <s v="Allergy"/>
    <x v="964"/>
    <x v="6"/>
    <n v="1"/>
    <x v="16"/>
  </r>
  <r>
    <x v="979"/>
    <n v="54"/>
    <x v="1"/>
    <x v="1"/>
    <x v="530"/>
    <s v="Allergy"/>
    <x v="965"/>
    <x v="21"/>
    <n v="1"/>
    <x v="3"/>
  </r>
  <r>
    <x v="980"/>
    <n v="42"/>
    <x v="0"/>
    <x v="1"/>
    <x v="6"/>
    <s v="Migraine"/>
    <x v="966"/>
    <x v="16"/>
    <n v="2"/>
    <x v="6"/>
  </r>
  <r>
    <x v="981"/>
    <n v="23"/>
    <x v="1"/>
    <x v="4"/>
    <x v="395"/>
    <s v="Allergy"/>
    <x v="967"/>
    <x v="12"/>
    <n v="1"/>
    <x v="13"/>
  </r>
  <r>
    <x v="982"/>
    <n v="85"/>
    <x v="1"/>
    <x v="3"/>
    <x v="384"/>
    <s v="Infection"/>
    <x v="968"/>
    <x v="45"/>
    <n v="0"/>
    <x v="7"/>
  </r>
  <r>
    <x v="983"/>
    <n v="43"/>
    <x v="0"/>
    <x v="1"/>
    <x v="165"/>
    <s v="Migraine"/>
    <x v="969"/>
    <x v="60"/>
    <n v="0"/>
    <x v="11"/>
  </r>
  <r>
    <x v="984"/>
    <n v="19"/>
    <x v="1"/>
    <x v="1"/>
    <x v="531"/>
    <s v="Diabetes"/>
    <x v="970"/>
    <x v="48"/>
    <n v="5"/>
    <x v="16"/>
  </r>
  <r>
    <x v="985"/>
    <n v="14"/>
    <x v="0"/>
    <x v="5"/>
    <x v="532"/>
    <s v="Allergy"/>
    <x v="971"/>
    <x v="25"/>
    <n v="1"/>
    <x v="18"/>
  </r>
  <r>
    <x v="986"/>
    <n v="68"/>
    <x v="1"/>
    <x v="1"/>
    <x v="533"/>
    <s v="Diabetes"/>
    <x v="972"/>
    <x v="36"/>
    <n v="2"/>
    <x v="12"/>
  </r>
  <r>
    <x v="987"/>
    <n v="26"/>
    <x v="1"/>
    <x v="1"/>
    <x v="534"/>
    <s v="Diabetes"/>
    <x v="973"/>
    <x v="46"/>
    <n v="1"/>
    <x v="19"/>
  </r>
  <r>
    <x v="988"/>
    <n v="23"/>
    <x v="1"/>
    <x v="2"/>
    <x v="535"/>
    <s v="Migraine"/>
    <x v="974"/>
    <x v="44"/>
    <n v="1"/>
    <x v="22"/>
  </r>
  <r>
    <x v="989"/>
    <n v="60"/>
    <x v="0"/>
    <x v="1"/>
    <x v="220"/>
    <s v="Hypertension"/>
    <x v="975"/>
    <x v="4"/>
    <n v="0"/>
    <x v="4"/>
  </r>
  <r>
    <x v="990"/>
    <n v="57"/>
    <x v="1"/>
    <x v="0"/>
    <x v="216"/>
    <s v="Diabetes"/>
    <x v="976"/>
    <x v="5"/>
    <n v="1"/>
    <x v="3"/>
  </r>
  <r>
    <x v="991"/>
    <n v="23"/>
    <x v="1"/>
    <x v="5"/>
    <x v="302"/>
    <s v="Hypertension"/>
    <x v="977"/>
    <x v="19"/>
    <n v="4"/>
    <x v="17"/>
  </r>
  <r>
    <x v="992"/>
    <n v="17"/>
    <x v="1"/>
    <x v="2"/>
    <x v="346"/>
    <s v="Migraine"/>
    <x v="978"/>
    <x v="46"/>
    <n v="1"/>
    <x v="4"/>
  </r>
  <r>
    <x v="993"/>
    <n v="40"/>
    <x v="1"/>
    <x v="0"/>
    <x v="29"/>
    <s v="Diabetes"/>
    <x v="979"/>
    <x v="18"/>
    <n v="3"/>
    <x v="14"/>
  </r>
  <r>
    <x v="994"/>
    <n v="37"/>
    <x v="0"/>
    <x v="5"/>
    <x v="459"/>
    <s v="Infection"/>
    <x v="980"/>
    <x v="55"/>
    <n v="1"/>
    <x v="7"/>
  </r>
  <r>
    <x v="995"/>
    <n v="17"/>
    <x v="0"/>
    <x v="4"/>
    <x v="46"/>
    <s v="Infection"/>
    <x v="981"/>
    <x v="50"/>
    <n v="1"/>
    <x v="13"/>
  </r>
  <r>
    <x v="996"/>
    <n v="12"/>
    <x v="1"/>
    <x v="1"/>
    <x v="327"/>
    <s v="Diabetes"/>
    <x v="982"/>
    <x v="24"/>
    <n v="0"/>
    <x v="19"/>
  </r>
  <r>
    <x v="997"/>
    <n v="29"/>
    <x v="0"/>
    <x v="2"/>
    <x v="227"/>
    <s v="Migraine"/>
    <x v="983"/>
    <x v="16"/>
    <n v="1"/>
    <x v="12"/>
  </r>
  <r>
    <x v="998"/>
    <n v="71"/>
    <x v="1"/>
    <x v="3"/>
    <x v="3"/>
    <s v="Diabetes"/>
    <x v="984"/>
    <x v="8"/>
    <n v="0"/>
    <x v="3"/>
  </r>
  <r>
    <x v="999"/>
    <n v="37"/>
    <x v="1"/>
    <x v="1"/>
    <x v="536"/>
    <s v="Diabetes"/>
    <x v="985"/>
    <x v="0"/>
    <n v="5"/>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95A3DD-3A48-4AFE-89B1-9EF69255F8A5}" name="PivotTable1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
  <location ref="G11:H14" firstHeaderRow="1" firstDataRow="1" firstDataCol="1"/>
  <pivotFields count="1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 showAll="0"/>
    <pivotField axis="axisRow" showAll="0">
      <items count="3">
        <item x="0"/>
        <item x="1"/>
        <item t="default"/>
      </items>
    </pivotField>
    <pivotField showAll="0">
      <items count="7">
        <item x="1"/>
        <item x="3"/>
        <item x="4"/>
        <item x="2"/>
        <item x="0"/>
        <item x="5"/>
        <item t="default"/>
      </items>
    </pivotField>
    <pivotField numFmtId="14" showAll="0">
      <items count="538">
        <item x="285"/>
        <item x="476"/>
        <item x="446"/>
        <item x="348"/>
        <item x="207"/>
        <item x="520"/>
        <item x="329"/>
        <item x="158"/>
        <item x="92"/>
        <item x="330"/>
        <item x="44"/>
        <item x="70"/>
        <item x="331"/>
        <item x="456"/>
        <item x="488"/>
        <item x="343"/>
        <item x="291"/>
        <item x="307"/>
        <item x="424"/>
        <item x="274"/>
        <item x="194"/>
        <item x="387"/>
        <item x="288"/>
        <item x="145"/>
        <item x="504"/>
        <item x="71"/>
        <item x="186"/>
        <item x="204"/>
        <item x="511"/>
        <item x="238"/>
        <item x="278"/>
        <item x="300"/>
        <item x="535"/>
        <item x="174"/>
        <item x="122"/>
        <item x="311"/>
        <item x="335"/>
        <item x="210"/>
        <item x="82"/>
        <item x="449"/>
        <item x="323"/>
        <item x="286"/>
        <item x="483"/>
        <item x="218"/>
        <item x="58"/>
        <item x="287"/>
        <item x="101"/>
        <item x="515"/>
        <item x="470"/>
        <item x="360"/>
        <item x="305"/>
        <item x="306"/>
        <item x="309"/>
        <item x="325"/>
        <item x="38"/>
        <item x="353"/>
        <item x="473"/>
        <item x="340"/>
        <item x="21"/>
        <item x="54"/>
        <item x="523"/>
        <item x="47"/>
        <item x="355"/>
        <item x="487"/>
        <item x="499"/>
        <item x="292"/>
        <item x="532"/>
        <item x="301"/>
        <item x="506"/>
        <item x="262"/>
        <item x="211"/>
        <item x="68"/>
        <item x="303"/>
        <item x="455"/>
        <item x="386"/>
        <item x="146"/>
        <item x="230"/>
        <item x="332"/>
        <item x="157"/>
        <item x="435"/>
        <item x="33"/>
        <item x="115"/>
        <item x="290"/>
        <item x="83"/>
        <item x="479"/>
        <item x="492"/>
        <item x="147"/>
        <item x="408"/>
        <item x="357"/>
        <item x="75"/>
        <item x="119"/>
        <item x="399"/>
        <item x="183"/>
        <item x="364"/>
        <item x="237"/>
        <item x="57"/>
        <item x="27"/>
        <item x="118"/>
        <item x="18"/>
        <item x="279"/>
        <item x="454"/>
        <item x="94"/>
        <item x="134"/>
        <item x="519"/>
        <item x="6"/>
        <item x="480"/>
        <item x="200"/>
        <item x="418"/>
        <item x="260"/>
        <item x="266"/>
        <item x="326"/>
        <item x="494"/>
        <item x="308"/>
        <item x="362"/>
        <item x="405"/>
        <item x="123"/>
        <item x="313"/>
        <item x="477"/>
        <item x="8"/>
        <item x="52"/>
        <item x="438"/>
        <item x="384"/>
        <item x="352"/>
        <item x="299"/>
        <item x="259"/>
        <item x="462"/>
        <item x="459"/>
        <item x="496"/>
        <item x="235"/>
        <item x="420"/>
        <item x="263"/>
        <item x="394"/>
        <item x="12"/>
        <item x="373"/>
        <item x="376"/>
        <item x="503"/>
        <item x="525"/>
        <item x="296"/>
        <item x="321"/>
        <item x="112"/>
        <item x="448"/>
        <item x="184"/>
        <item x="302"/>
        <item x="333"/>
        <item x="77"/>
        <item x="425"/>
        <item x="437"/>
        <item x="505"/>
        <item x="34"/>
        <item x="152"/>
        <item x="502"/>
        <item x="193"/>
        <item x="281"/>
        <item x="411"/>
        <item x="432"/>
        <item x="258"/>
        <item x="36"/>
        <item x="406"/>
        <item x="482"/>
        <item x="32"/>
        <item x="426"/>
        <item x="99"/>
        <item x="317"/>
        <item x="457"/>
        <item x="346"/>
        <item x="256"/>
        <item x="131"/>
        <item x="493"/>
        <item x="316"/>
        <item x="293"/>
        <item x="49"/>
        <item x="374"/>
        <item x="243"/>
        <item x="322"/>
        <item x="100"/>
        <item x="190"/>
        <item x="203"/>
        <item x="458"/>
        <item x="220"/>
        <item x="4"/>
        <item x="398"/>
        <item x="231"/>
        <item x="228"/>
        <item x="528"/>
        <item x="233"/>
        <item x="489"/>
        <item x="444"/>
        <item x="409"/>
        <item x="512"/>
        <item x="247"/>
        <item x="97"/>
        <item x="133"/>
        <item x="85"/>
        <item x="168"/>
        <item x="442"/>
        <item x="495"/>
        <item x="388"/>
        <item x="381"/>
        <item x="117"/>
        <item x="140"/>
        <item x="363"/>
        <item x="111"/>
        <item x="55"/>
        <item x="78"/>
        <item x="341"/>
        <item x="412"/>
        <item x="169"/>
        <item x="390"/>
        <item x="417"/>
        <item x="436"/>
        <item x="297"/>
        <item x="225"/>
        <item x="385"/>
        <item x="39"/>
        <item x="41"/>
        <item x="224"/>
        <item x="178"/>
        <item x="440"/>
        <item x="246"/>
        <item x="354"/>
        <item x="530"/>
        <item x="445"/>
        <item x="132"/>
        <item x="182"/>
        <item x="320"/>
        <item x="400"/>
        <item x="3"/>
        <item x="181"/>
        <item x="226"/>
        <item x="377"/>
        <item x="216"/>
        <item x="199"/>
        <item x="298"/>
        <item x="138"/>
        <item x="369"/>
        <item x="16"/>
        <item x="367"/>
        <item x="249"/>
        <item x="22"/>
        <item x="368"/>
        <item x="56"/>
        <item x="468"/>
        <item x="35"/>
        <item x="452"/>
        <item x="261"/>
        <item x="223"/>
        <item x="213"/>
        <item x="239"/>
        <item x="141"/>
        <item x="439"/>
        <item x="202"/>
        <item x="351"/>
        <item x="9"/>
        <item x="116"/>
        <item x="170"/>
        <item x="403"/>
        <item x="155"/>
        <item x="79"/>
        <item x="175"/>
        <item x="365"/>
        <item x="187"/>
        <item x="192"/>
        <item x="251"/>
        <item x="48"/>
        <item x="45"/>
        <item x="196"/>
        <item x="393"/>
        <item x="61"/>
        <item x="422"/>
        <item x="17"/>
        <item x="463"/>
        <item x="53"/>
        <item x="29"/>
        <item x="271"/>
        <item x="334"/>
        <item x="93"/>
        <item x="516"/>
        <item x="275"/>
        <item x="95"/>
        <item x="372"/>
        <item x="197"/>
        <item x="342"/>
        <item x="510"/>
        <item x="382"/>
        <item x="248"/>
        <item x="108"/>
        <item x="447"/>
        <item x="392"/>
        <item x="107"/>
        <item x="222"/>
        <item x="264"/>
        <item x="361"/>
        <item x="268"/>
        <item x="431"/>
        <item x="205"/>
        <item x="336"/>
        <item x="2"/>
        <item x="481"/>
        <item x="433"/>
        <item x="471"/>
        <item x="143"/>
        <item x="378"/>
        <item x="521"/>
        <item x="150"/>
        <item x="153"/>
        <item x="507"/>
        <item x="125"/>
        <item x="450"/>
        <item x="397"/>
        <item x="59"/>
        <item x="314"/>
        <item x="289"/>
        <item x="282"/>
        <item x="60"/>
        <item x="229"/>
        <item x="253"/>
        <item x="270"/>
        <item x="401"/>
        <item x="161"/>
        <item x="366"/>
        <item x="154"/>
        <item x="221"/>
        <item x="474"/>
        <item x="347"/>
        <item x="37"/>
        <item x="241"/>
        <item x="104"/>
        <item x="0"/>
        <item x="129"/>
        <item x="165"/>
        <item x="191"/>
        <item x="319"/>
        <item x="149"/>
        <item x="414"/>
        <item x="350"/>
        <item x="383"/>
        <item x="201"/>
        <item x="345"/>
        <item x="514"/>
        <item x="283"/>
        <item x="423"/>
        <item x="13"/>
        <item x="137"/>
        <item x="106"/>
        <item x="441"/>
        <item x="277"/>
        <item x="142"/>
        <item x="407"/>
        <item x="236"/>
        <item x="254"/>
        <item x="166"/>
        <item x="429"/>
        <item x="114"/>
        <item x="315"/>
        <item x="533"/>
        <item x="338"/>
        <item x="257"/>
        <item x="98"/>
        <item x="144"/>
        <item x="87"/>
        <item x="214"/>
        <item x="14"/>
        <item x="242"/>
        <item x="121"/>
        <item x="227"/>
        <item x="208"/>
        <item x="513"/>
        <item x="245"/>
        <item x="105"/>
        <item x="318"/>
        <item x="195"/>
        <item x="72"/>
        <item x="267"/>
        <item x="500"/>
        <item x="265"/>
        <item x="356"/>
        <item x="23"/>
        <item x="359"/>
        <item x="531"/>
        <item x="486"/>
        <item x="96"/>
        <item x="501"/>
        <item x="113"/>
        <item x="344"/>
        <item x="219"/>
        <item x="250"/>
        <item x="536"/>
        <item x="25"/>
        <item x="475"/>
        <item x="284"/>
        <item x="396"/>
        <item x="172"/>
        <item x="135"/>
        <item x="10"/>
        <item x="198"/>
        <item x="159"/>
        <item x="91"/>
        <item x="466"/>
        <item x="295"/>
        <item x="416"/>
        <item x="31"/>
        <item x="280"/>
        <item x="43"/>
        <item x="518"/>
        <item x="66"/>
        <item x="110"/>
        <item x="370"/>
        <item x="527"/>
        <item x="498"/>
        <item x="30"/>
        <item x="430"/>
        <item x="217"/>
        <item x="69"/>
        <item x="156"/>
        <item x="180"/>
        <item x="51"/>
        <item x="90"/>
        <item x="28"/>
        <item x="461"/>
        <item x="273"/>
        <item x="232"/>
        <item x="469"/>
        <item x="484"/>
        <item x="428"/>
        <item x="19"/>
        <item x="389"/>
        <item x="1"/>
        <item x="63"/>
        <item x="375"/>
        <item x="24"/>
        <item x="179"/>
        <item x="491"/>
        <item x="529"/>
        <item x="421"/>
        <item x="310"/>
        <item x="255"/>
        <item x="81"/>
        <item x="89"/>
        <item x="337"/>
        <item x="26"/>
        <item x="526"/>
        <item x="508"/>
        <item x="5"/>
        <item x="294"/>
        <item x="189"/>
        <item x="73"/>
        <item x="410"/>
        <item x="240"/>
        <item x="67"/>
        <item x="415"/>
        <item x="20"/>
        <item x="472"/>
        <item x="467"/>
        <item x="252"/>
        <item x="7"/>
        <item x="349"/>
        <item x="434"/>
        <item x="86"/>
        <item x="478"/>
        <item x="209"/>
        <item x="40"/>
        <item x="103"/>
        <item x="524"/>
        <item x="136"/>
        <item x="269"/>
        <item x="485"/>
        <item x="304"/>
        <item x="427"/>
        <item x="234"/>
        <item x="460"/>
        <item x="151"/>
        <item x="188"/>
        <item x="371"/>
        <item x="517"/>
        <item x="162"/>
        <item x="328"/>
        <item x="11"/>
        <item x="148"/>
        <item x="276"/>
        <item x="130"/>
        <item x="176"/>
        <item x="206"/>
        <item x="324"/>
        <item x="102"/>
        <item x="128"/>
        <item x="88"/>
        <item x="80"/>
        <item x="391"/>
        <item x="443"/>
        <item x="177"/>
        <item x="76"/>
        <item x="451"/>
        <item x="65"/>
        <item x="522"/>
        <item x="509"/>
        <item x="272"/>
        <item x="185"/>
        <item x="109"/>
        <item x="212"/>
        <item x="42"/>
        <item x="50"/>
        <item x="160"/>
        <item x="413"/>
        <item x="215"/>
        <item x="84"/>
        <item x="379"/>
        <item x="327"/>
        <item x="74"/>
        <item x="534"/>
        <item x="380"/>
        <item x="126"/>
        <item x="120"/>
        <item x="404"/>
        <item x="497"/>
        <item x="244"/>
        <item x="464"/>
        <item x="64"/>
        <item x="62"/>
        <item x="465"/>
        <item x="339"/>
        <item x="173"/>
        <item x="453"/>
        <item x="312"/>
        <item x="167"/>
        <item x="15"/>
        <item x="419"/>
        <item x="402"/>
        <item x="164"/>
        <item x="127"/>
        <item x="395"/>
        <item x="124"/>
        <item x="490"/>
        <item x="163"/>
        <item x="139"/>
        <item x="46"/>
        <item x="171"/>
        <item x="358"/>
        <item t="default"/>
      </items>
    </pivotField>
    <pivotField showAll="0"/>
    <pivotField numFmtId="168" showAll="0">
      <items count="987">
        <item x="618"/>
        <item x="226"/>
        <item x="185"/>
        <item x="908"/>
        <item x="791"/>
        <item x="574"/>
        <item x="970"/>
        <item x="173"/>
        <item x="585"/>
        <item x="715"/>
        <item x="918"/>
        <item x="680"/>
        <item x="608"/>
        <item x="646"/>
        <item x="631"/>
        <item x="757"/>
        <item x="55"/>
        <item x="591"/>
        <item x="81"/>
        <item x="815"/>
        <item x="326"/>
        <item x="390"/>
        <item x="12"/>
        <item x="750"/>
        <item x="889"/>
        <item x="884"/>
        <item x="655"/>
        <item x="416"/>
        <item x="713"/>
        <item x="90"/>
        <item x="531"/>
        <item x="606"/>
        <item x="37"/>
        <item x="864"/>
        <item x="107"/>
        <item x="963"/>
        <item x="719"/>
        <item x="661"/>
        <item x="598"/>
        <item x="668"/>
        <item x="774"/>
        <item x="743"/>
        <item x="341"/>
        <item x="76"/>
        <item x="99"/>
        <item x="601"/>
        <item x="506"/>
        <item x="559"/>
        <item x="149"/>
        <item x="846"/>
        <item x="402"/>
        <item x="844"/>
        <item x="444"/>
        <item x="692"/>
        <item x="779"/>
        <item x="850"/>
        <item x="124"/>
        <item x="386"/>
        <item x="724"/>
        <item x="830"/>
        <item x="41"/>
        <item x="318"/>
        <item x="584"/>
        <item x="648"/>
        <item x="930"/>
        <item x="46"/>
        <item x="542"/>
        <item x="867"/>
        <item x="936"/>
        <item x="104"/>
        <item x="333"/>
        <item x="345"/>
        <item x="446"/>
        <item x="62"/>
        <item x="45"/>
        <item x="693"/>
        <item x="917"/>
        <item x="200"/>
        <item x="569"/>
        <item x="645"/>
        <item x="349"/>
        <item x="673"/>
        <item x="958"/>
        <item x="437"/>
        <item x="212"/>
        <item x="535"/>
        <item x="679"/>
        <item x="906"/>
        <item x="643"/>
        <item x="178"/>
        <item x="73"/>
        <item x="589"/>
        <item x="23"/>
        <item x="496"/>
        <item x="920"/>
        <item x="441"/>
        <item x="737"/>
        <item x="565"/>
        <item x="581"/>
        <item x="258"/>
        <item x="94"/>
        <item x="145"/>
        <item x="549"/>
        <item x="489"/>
        <item x="795"/>
        <item x="1"/>
        <item x="827"/>
        <item x="885"/>
        <item x="19"/>
        <item x="698"/>
        <item x="639"/>
        <item x="400"/>
        <item x="216"/>
        <item x="845"/>
        <item x="317"/>
        <item x="676"/>
        <item x="352"/>
        <item x="525"/>
        <item x="174"/>
        <item x="953"/>
        <item x="793"/>
        <item x="344"/>
        <item x="68"/>
        <item x="177"/>
        <item x="351"/>
        <item x="905"/>
        <item x="442"/>
        <item x="593"/>
        <item x="263"/>
        <item x="755"/>
        <item x="667"/>
        <item x="959"/>
        <item x="307"/>
        <item x="571"/>
        <item x="982"/>
        <item x="170"/>
        <item x="627"/>
        <item x="769"/>
        <item x="431"/>
        <item x="362"/>
        <item x="491"/>
        <item x="796"/>
        <item x="637"/>
        <item x="547"/>
        <item x="106"/>
        <item x="824"/>
        <item x="235"/>
        <item x="708"/>
        <item x="976"/>
        <item x="296"/>
        <item x="25"/>
        <item x="115"/>
        <item x="482"/>
        <item x="578"/>
        <item x="782"/>
        <item x="334"/>
        <item x="916"/>
        <item x="257"/>
        <item x="469"/>
        <item x="934"/>
        <item x="642"/>
        <item x="89"/>
        <item x="819"/>
        <item x="763"/>
        <item x="910"/>
        <item x="738"/>
        <item x="695"/>
        <item x="800"/>
        <item x="228"/>
        <item x="357"/>
        <item x="678"/>
        <item x="422"/>
        <item x="872"/>
        <item x="938"/>
        <item x="423"/>
        <item x="835"/>
        <item x="888"/>
        <item x="108"/>
        <item x="798"/>
        <item x="786"/>
        <item x="358"/>
        <item x="316"/>
        <item x="5"/>
        <item x="195"/>
        <item x="922"/>
        <item x="260"/>
        <item x="337"/>
        <item x="937"/>
        <item x="301"/>
        <item x="853"/>
        <item x="740"/>
        <item x="401"/>
        <item x="33"/>
        <item x="572"/>
        <item x="966"/>
        <item x="485"/>
        <item x="425"/>
        <item x="660"/>
        <item x="539"/>
        <item x="65"/>
        <item x="722"/>
        <item x="462"/>
        <item x="309"/>
        <item x="288"/>
        <item x="577"/>
        <item x="773"/>
        <item x="429"/>
        <item x="210"/>
        <item x="957"/>
        <item x="259"/>
        <item x="636"/>
        <item x="230"/>
        <item x="501"/>
        <item x="132"/>
        <item x="261"/>
        <item x="748"/>
        <item x="7"/>
        <item x="356"/>
        <item x="59"/>
        <item x="328"/>
        <item x="109"/>
        <item x="893"/>
        <item x="338"/>
        <item x="657"/>
        <item x="36"/>
        <item x="404"/>
        <item x="167"/>
        <item x="735"/>
        <item x="555"/>
        <item x="626"/>
        <item x="573"/>
        <item x="720"/>
        <item x="717"/>
        <item x="287"/>
        <item x="249"/>
        <item x="220"/>
        <item x="408"/>
        <item x="886"/>
        <item x="350"/>
        <item x="607"/>
        <item x="843"/>
        <item x="184"/>
        <item x="902"/>
        <item x="669"/>
        <item x="214"/>
        <item x="947"/>
        <item x="810"/>
        <item x="206"/>
        <item x="522"/>
        <item x="756"/>
        <item x="775"/>
        <item x="739"/>
        <item x="590"/>
        <item x="463"/>
        <item x="580"/>
        <item x="532"/>
        <item x="409"/>
        <item x="664"/>
        <item x="336"/>
        <item x="199"/>
        <item x="383"/>
        <item x="44"/>
        <item x="273"/>
        <item x="833"/>
        <item x="675"/>
        <item x="49"/>
        <item x="624"/>
        <item x="391"/>
        <item x="285"/>
        <item x="406"/>
        <item x="841"/>
        <item x="379"/>
        <item x="138"/>
        <item x="51"/>
        <item x="685"/>
        <item x="520"/>
        <item x="826"/>
        <item x="470"/>
        <item x="447"/>
        <item x="544"/>
        <item x="554"/>
        <item x="157"/>
        <item x="849"/>
        <item x="30"/>
        <item x="514"/>
        <item x="246"/>
        <item x="389"/>
        <item x="659"/>
        <item x="475"/>
        <item x="449"/>
        <item x="622"/>
        <item x="121"/>
        <item x="939"/>
        <item x="797"/>
        <item x="264"/>
        <item x="973"/>
        <item x="777"/>
        <item x="327"/>
        <item x="368"/>
        <item x="894"/>
        <item x="557"/>
        <item x="311"/>
        <item x="945"/>
        <item x="78"/>
        <item x="211"/>
        <item x="605"/>
        <item x="940"/>
        <item x="513"/>
        <item x="822"/>
        <item x="380"/>
        <item x="732"/>
        <item x="267"/>
        <item x="619"/>
        <item x="697"/>
        <item x="376"/>
        <item x="534"/>
        <item x="139"/>
        <item x="24"/>
        <item x="93"/>
        <item x="375"/>
        <item x="741"/>
        <item x="836"/>
        <item x="365"/>
        <item x="759"/>
        <item x="405"/>
        <item x="575"/>
        <item x="420"/>
        <item x="538"/>
        <item x="829"/>
        <item x="294"/>
        <item x="417"/>
        <item x="690"/>
        <item x="747"/>
        <item x="548"/>
        <item x="38"/>
        <item x="268"/>
        <item x="269"/>
        <item x="236"/>
        <item x="813"/>
        <item x="265"/>
        <item x="140"/>
        <item x="831"/>
        <item x="871"/>
        <item x="935"/>
        <item x="629"/>
        <item x="343"/>
        <item x="385"/>
        <item x="620"/>
        <item x="859"/>
        <item x="292"/>
        <item x="599"/>
        <item x="239"/>
        <item x="540"/>
        <item x="393"/>
        <item x="515"/>
        <item x="382"/>
        <item x="196"/>
        <item x="495"/>
        <item x="299"/>
        <item x="794"/>
        <item x="213"/>
        <item x="812"/>
        <item x="467"/>
        <item x="186"/>
        <item x="632"/>
        <item x="433"/>
        <item x="892"/>
        <item x="752"/>
        <item x="980"/>
        <item x="978"/>
        <item x="891"/>
        <item x="614"/>
        <item x="570"/>
        <item x="159"/>
        <item x="484"/>
        <item x="653"/>
        <item x="321"/>
        <item x="459"/>
        <item x="286"/>
        <item x="825"/>
        <item x="498"/>
        <item x="392"/>
        <item x="597"/>
        <item x="665"/>
        <item x="865"/>
        <item x="440"/>
        <item x="890"/>
        <item x="279"/>
        <item x="709"/>
        <item x="537"/>
        <item x="275"/>
        <item x="407"/>
        <item x="638"/>
        <item x="929"/>
        <item x="255"/>
        <item x="280"/>
        <item x="290"/>
        <item x="507"/>
        <item x="252"/>
        <item x="602"/>
        <item x="688"/>
        <item x="546"/>
        <item x="497"/>
        <item x="944"/>
        <item x="295"/>
        <item x="898"/>
        <item x="72"/>
        <item x="877"/>
        <item x="508"/>
        <item x="516"/>
        <item x="927"/>
        <item x="156"/>
        <item x="576"/>
        <item x="415"/>
        <item x="48"/>
        <item x="232"/>
        <item x="863"/>
        <item x="17"/>
        <item x="621"/>
        <item x="493"/>
        <item x="972"/>
        <item x="556"/>
        <item x="490"/>
        <item x="304"/>
        <item x="110"/>
        <item x="373"/>
        <item x="820"/>
        <item x="135"/>
        <item x="967"/>
        <item x="322"/>
        <item x="931"/>
        <item x="896"/>
        <item x="529"/>
        <item x="904"/>
        <item x="634"/>
        <item x="866"/>
        <item x="586"/>
        <item x="388"/>
        <item x="432"/>
        <item x="895"/>
        <item x="82"/>
        <item x="158"/>
        <item x="596"/>
        <item x="396"/>
        <item x="465"/>
        <item x="647"/>
        <item x="231"/>
        <item x="716"/>
        <item x="32"/>
        <item x="377"/>
        <item x="652"/>
        <item x="558"/>
        <item x="472"/>
        <item x="105"/>
        <item x="764"/>
        <item x="483"/>
        <item x="427"/>
        <item x="694"/>
        <item x="245"/>
        <item x="8"/>
        <item x="817"/>
        <item x="129"/>
        <item x="509"/>
        <item x="84"/>
        <item x="912"/>
        <item x="165"/>
        <item x="270"/>
        <item x="153"/>
        <item x="511"/>
        <item x="583"/>
        <item x="754"/>
        <item x="53"/>
        <item x="189"/>
        <item x="727"/>
        <item x="438"/>
        <item x="180"/>
        <item x="182"/>
        <item x="964"/>
        <item x="448"/>
        <item x="454"/>
        <item x="762"/>
        <item x="367"/>
        <item x="691"/>
        <item x="31"/>
        <item x="21"/>
        <item x="948"/>
        <item x="615"/>
        <item x="879"/>
        <item x="126"/>
        <item x="880"/>
        <item x="857"/>
        <item x="502"/>
        <item x="650"/>
        <item x="666"/>
        <item x="613"/>
        <item x="553"/>
        <item x="983"/>
        <item x="370"/>
        <item x="118"/>
        <item x="0"/>
        <item x="181"/>
        <item x="854"/>
        <item x="703"/>
        <item x="734"/>
        <item x="378"/>
        <item x="951"/>
        <item x="253"/>
        <item x="723"/>
        <item x="567"/>
        <item x="975"/>
        <item x="238"/>
        <item x="131"/>
        <item x="488"/>
        <item x="315"/>
        <item x="876"/>
        <item x="649"/>
        <item x="792"/>
        <item x="119"/>
        <item x="112"/>
        <item x="790"/>
        <item x="943"/>
        <item x="353"/>
        <item x="85"/>
        <item x="552"/>
        <item x="456"/>
        <item x="616"/>
        <item x="909"/>
        <item x="949"/>
        <item x="860"/>
        <item x="731"/>
        <item x="298"/>
        <item x="26"/>
        <item x="314"/>
        <item x="718"/>
        <item x="550"/>
        <item x="753"/>
        <item x="913"/>
        <item x="761"/>
        <item x="771"/>
        <item x="354"/>
        <item x="42"/>
        <item x="858"/>
        <item x="457"/>
        <item x="221"/>
        <item x="600"/>
        <item x="63"/>
        <item x="52"/>
        <item x="745"/>
        <item x="302"/>
        <item x="403"/>
        <item x="233"/>
        <item x="582"/>
        <item x="977"/>
        <item x="941"/>
        <item x="136"/>
        <item x="203"/>
        <item x="840"/>
        <item x="609"/>
        <item x="563"/>
        <item x="69"/>
        <item x="778"/>
        <item x="662"/>
        <item x="974"/>
        <item x="122"/>
        <item x="699"/>
        <item x="533"/>
        <item x="187"/>
        <item x="460"/>
        <item x="308"/>
        <item x="566"/>
        <item x="355"/>
        <item x="789"/>
        <item x="503"/>
        <item x="984"/>
        <item x="443"/>
        <item x="190"/>
        <item x="6"/>
        <item x="623"/>
        <item x="701"/>
        <item x="823"/>
        <item x="103"/>
        <item x="114"/>
        <item x="224"/>
        <item x="528"/>
        <item x="933"/>
        <item x="176"/>
        <item x="202"/>
        <item x="450"/>
        <item x="102"/>
        <item x="985"/>
        <item x="781"/>
        <item x="155"/>
        <item x="611"/>
        <item x="418"/>
        <item x="204"/>
        <item x="700"/>
        <item x="962"/>
        <item x="434"/>
        <item x="736"/>
        <item x="77"/>
        <item x="477"/>
        <item x="146"/>
        <item x="453"/>
        <item x="704"/>
        <item x="744"/>
        <item x="805"/>
        <item x="67"/>
        <item x="562"/>
        <item x="803"/>
        <item x="160"/>
        <item x="137"/>
        <item x="809"/>
        <item x="847"/>
        <item x="281"/>
        <item x="151"/>
        <item x="504"/>
        <item x="696"/>
        <item x="960"/>
        <item x="834"/>
        <item x="254"/>
        <item x="371"/>
        <item x="478"/>
        <item x="123"/>
        <item x="816"/>
        <item x="682"/>
        <item x="240"/>
        <item x="278"/>
        <item x="243"/>
        <item x="500"/>
        <item x="968"/>
        <item x="923"/>
        <item x="87"/>
        <item x="799"/>
        <item x="277"/>
        <item x="324"/>
        <item x="194"/>
        <item x="899"/>
        <item x="851"/>
        <item x="656"/>
        <item x="363"/>
        <item x="721"/>
        <item x="141"/>
        <item x="672"/>
        <item x="346"/>
        <item x="828"/>
        <item x="856"/>
        <item x="804"/>
        <item x="144"/>
        <item x="384"/>
        <item x="476"/>
        <item x="730"/>
        <item x="13"/>
        <item x="445"/>
        <item x="342"/>
        <item x="802"/>
        <item x="956"/>
        <item x="594"/>
        <item x="473"/>
        <item x="148"/>
        <item x="169"/>
        <item x="120"/>
        <item x="855"/>
        <item x="332"/>
        <item x="320"/>
        <item x="780"/>
        <item x="421"/>
        <item x="603"/>
        <item x="413"/>
        <item x="768"/>
        <item x="116"/>
        <item x="272"/>
        <item x="256"/>
        <item x="339"/>
        <item x="150"/>
        <item x="227"/>
        <item x="2"/>
        <item x="96"/>
        <item x="183"/>
        <item x="274"/>
        <item x="842"/>
        <item x="641"/>
        <item x="411"/>
        <item x="568"/>
        <item x="517"/>
        <item x="50"/>
        <item x="612"/>
        <item x="868"/>
        <item x="18"/>
        <item x="751"/>
        <item x="47"/>
        <item x="900"/>
        <item x="217"/>
        <item x="942"/>
        <item x="926"/>
        <item x="191"/>
        <item x="458"/>
        <item x="251"/>
        <item x="70"/>
        <item x="474"/>
        <item x="928"/>
        <item x="677"/>
        <item x="188"/>
        <item x="61"/>
        <item x="818"/>
        <item x="172"/>
        <item x="510"/>
        <item x="313"/>
        <item x="436"/>
        <item x="331"/>
        <item x="874"/>
        <item x="223"/>
        <item x="749"/>
        <item x="16"/>
        <item x="807"/>
        <item x="811"/>
        <item x="35"/>
        <item x="166"/>
        <item x="113"/>
        <item x="198"/>
        <item x="419"/>
        <item x="205"/>
        <item x="201"/>
        <item x="725"/>
        <item x="229"/>
        <item x="218"/>
        <item x="451"/>
        <item x="364"/>
        <item x="168"/>
        <item x="684"/>
        <item x="903"/>
        <item x="654"/>
        <item x="28"/>
        <item x="297"/>
        <item x="954"/>
        <item x="543"/>
        <item x="772"/>
        <item x="241"/>
        <item x="335"/>
        <item x="965"/>
        <item x="435"/>
        <item x="330"/>
        <item x="262"/>
        <item x="10"/>
        <item x="215"/>
        <item x="360"/>
        <item x="784"/>
        <item x="234"/>
        <item x="925"/>
        <item x="88"/>
        <item x="726"/>
        <item x="266"/>
        <item x="873"/>
        <item x="887"/>
        <item x="479"/>
        <item x="651"/>
        <item x="366"/>
        <item x="92"/>
        <item x="644"/>
        <item x="424"/>
        <item x="117"/>
        <item x="98"/>
        <item x="250"/>
        <item x="276"/>
        <item x="34"/>
        <item x="536"/>
        <item x="702"/>
        <item x="412"/>
        <item x="4"/>
        <item x="706"/>
        <item x="686"/>
        <item x="310"/>
        <item x="869"/>
        <item x="40"/>
        <item x="369"/>
        <item x="758"/>
        <item x="878"/>
        <item x="300"/>
        <item x="486"/>
        <item x="466"/>
        <item x="915"/>
        <item x="414"/>
        <item x="635"/>
        <item x="452"/>
        <item x="630"/>
        <item x="955"/>
        <item x="209"/>
        <item x="95"/>
        <item x="461"/>
        <item x="329"/>
        <item x="464"/>
        <item x="247"/>
        <item x="588"/>
        <item x="323"/>
        <item x="674"/>
        <item x="237"/>
        <item x="207"/>
        <item x="921"/>
        <item x="43"/>
        <item x="66"/>
        <item x="39"/>
        <item x="11"/>
        <item x="919"/>
        <item x="512"/>
        <item x="875"/>
        <item x="524"/>
        <item x="838"/>
        <item x="80"/>
        <item x="981"/>
        <item x="83"/>
        <item x="394"/>
        <item x="480"/>
        <item x="783"/>
        <item x="397"/>
        <item x="175"/>
        <item x="770"/>
        <item x="633"/>
        <item x="687"/>
        <item x="348"/>
        <item x="545"/>
        <item x="60"/>
        <item x="303"/>
        <item x="861"/>
        <item x="924"/>
        <item x="86"/>
        <item x="242"/>
        <item x="776"/>
        <item x="9"/>
        <item x="56"/>
        <item x="381"/>
        <item x="518"/>
        <item x="127"/>
        <item x="64"/>
        <item x="128"/>
        <item x="74"/>
        <item x="530"/>
        <item x="14"/>
        <item x="179"/>
        <item x="681"/>
        <item x="312"/>
        <item x="154"/>
        <item x="742"/>
        <item x="729"/>
        <item x="164"/>
        <item x="950"/>
        <item x="428"/>
        <item x="760"/>
        <item x="487"/>
        <item x="946"/>
        <item x="604"/>
        <item x="728"/>
        <item x="505"/>
        <item x="347"/>
        <item x="468"/>
        <item x="325"/>
        <item x="111"/>
        <item x="901"/>
        <item x="147"/>
        <item x="526"/>
        <item x="426"/>
        <item x="471"/>
        <item x="163"/>
        <item x="689"/>
        <item x="222"/>
        <item x="372"/>
        <item x="499"/>
        <item x="907"/>
        <item x="374"/>
        <item x="766"/>
        <item x="101"/>
        <item x="15"/>
        <item x="340"/>
        <item x="579"/>
        <item x="658"/>
        <item x="587"/>
        <item x="79"/>
        <item x="410"/>
        <item x="91"/>
        <item x="564"/>
        <item x="897"/>
        <item x="707"/>
        <item x="291"/>
        <item x="711"/>
        <item x="852"/>
        <item x="911"/>
        <item x="305"/>
        <item x="862"/>
        <item x="133"/>
        <item x="628"/>
        <item x="171"/>
        <item x="387"/>
        <item x="54"/>
        <item x="192"/>
        <item x="710"/>
        <item x="969"/>
        <item x="788"/>
        <item x="293"/>
        <item x="197"/>
        <item x="248"/>
        <item x="979"/>
        <item x="806"/>
        <item x="767"/>
        <item x="971"/>
        <item x="848"/>
        <item x="714"/>
        <item x="521"/>
        <item x="58"/>
        <item x="319"/>
        <item x="492"/>
        <item x="527"/>
        <item x="125"/>
        <item x="399"/>
        <item x="71"/>
        <item x="883"/>
        <item x="837"/>
        <item x="551"/>
        <item x="361"/>
        <item x="398"/>
        <item x="134"/>
        <item x="821"/>
        <item x="100"/>
        <item x="161"/>
        <item x="610"/>
        <item x="162"/>
        <item x="455"/>
        <item x="595"/>
        <item x="801"/>
        <item x="130"/>
        <item x="961"/>
        <item x="663"/>
        <item x="870"/>
        <item x="22"/>
        <item x="395"/>
        <item x="808"/>
        <item x="671"/>
        <item x="814"/>
        <item x="20"/>
        <item x="359"/>
        <item x="271"/>
        <item x="430"/>
        <item x="519"/>
        <item x="640"/>
        <item x="75"/>
        <item x="225"/>
        <item x="523"/>
        <item x="289"/>
        <item x="152"/>
        <item x="683"/>
        <item x="481"/>
        <item x="882"/>
        <item x="881"/>
        <item x="282"/>
        <item x="306"/>
        <item x="494"/>
        <item x="97"/>
        <item x="839"/>
        <item x="670"/>
        <item x="142"/>
        <item x="193"/>
        <item x="541"/>
        <item x="785"/>
        <item x="208"/>
        <item x="787"/>
        <item x="746"/>
        <item x="932"/>
        <item x="765"/>
        <item x="3"/>
        <item x="617"/>
        <item x="57"/>
        <item x="952"/>
        <item x="733"/>
        <item x="27"/>
        <item x="832"/>
        <item x="592"/>
        <item x="219"/>
        <item x="560"/>
        <item x="283"/>
        <item x="143"/>
        <item x="712"/>
        <item x="244"/>
        <item x="439"/>
        <item x="29"/>
        <item x="625"/>
        <item x="561"/>
        <item x="284"/>
        <item x="705"/>
        <item x="914"/>
        <item t="default"/>
      </items>
    </pivotField>
    <pivotField numFmtId="1" showAll="0">
      <items count="62">
        <item x="40"/>
        <item x="52"/>
        <item x="34"/>
        <item x="14"/>
        <item x="12"/>
        <item x="27"/>
        <item x="18"/>
        <item x="44"/>
        <item x="11"/>
        <item x="39"/>
        <item x="26"/>
        <item x="0"/>
        <item x="38"/>
        <item x="21"/>
        <item x="59"/>
        <item x="55"/>
        <item x="5"/>
        <item x="29"/>
        <item x="57"/>
        <item x="56"/>
        <item x="47"/>
        <item x="8"/>
        <item x="49"/>
        <item x="60"/>
        <item x="48"/>
        <item x="2"/>
        <item x="36"/>
        <item x="22"/>
        <item x="16"/>
        <item x="17"/>
        <item x="1"/>
        <item x="42"/>
        <item x="23"/>
        <item x="24"/>
        <item x="13"/>
        <item x="41"/>
        <item x="9"/>
        <item x="53"/>
        <item x="28"/>
        <item x="19"/>
        <item x="51"/>
        <item x="50"/>
        <item x="46"/>
        <item x="30"/>
        <item x="43"/>
        <item x="35"/>
        <item x="20"/>
        <item x="33"/>
        <item x="25"/>
        <item x="4"/>
        <item x="6"/>
        <item x="58"/>
        <item x="31"/>
        <item x="7"/>
        <item x="45"/>
        <item x="37"/>
        <item x="3"/>
        <item x="32"/>
        <item x="10"/>
        <item x="15"/>
        <item x="54"/>
        <item t="default"/>
      </items>
    </pivotField>
    <pivotField numFmtId="1" showAll="0"/>
    <pivotField showAll="0">
      <items count="25">
        <item x="20"/>
        <item x="22"/>
        <item x="15"/>
        <item x="18"/>
        <item x="6"/>
        <item x="7"/>
        <item x="17"/>
        <item x="4"/>
        <item x="21"/>
        <item x="3"/>
        <item x="8"/>
        <item x="14"/>
        <item x="2"/>
        <item x="0"/>
        <item x="11"/>
        <item x="12"/>
        <item x="16"/>
        <item x="9"/>
        <item x="1"/>
        <item x="5"/>
        <item x="10"/>
        <item x="19"/>
        <item x="13"/>
        <item x="2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3">
    <i>
      <x/>
    </i>
    <i>
      <x v="1"/>
    </i>
    <i t="grand">
      <x/>
    </i>
  </rowItems>
  <colItems count="1">
    <i/>
  </colItems>
  <dataFields count="1">
    <dataField name="Count of Patient_ID" fld="0" subtotal="count" baseField="0" baseItem="0"/>
  </dataFields>
  <formats count="1">
    <format dxfId="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6FF661-9E7A-41EB-BC4B-B25813ED710F}" name="PivotTable1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
  <location ref="A40:B1027" firstHeaderRow="1" firstDataRow="1" firstDataCol="1"/>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 showAll="0"/>
    <pivotField showAll="0">
      <items count="3">
        <item x="0"/>
        <item x="1"/>
        <item t="default"/>
      </items>
    </pivotField>
    <pivotField showAll="0">
      <items count="7">
        <item x="1"/>
        <item x="3"/>
        <item x="4"/>
        <item x="2"/>
        <item x="0"/>
        <item x="5"/>
        <item t="default"/>
      </items>
    </pivotField>
    <pivotField numFmtId="14" showAll="0">
      <items count="538">
        <item x="285"/>
        <item x="476"/>
        <item x="446"/>
        <item x="348"/>
        <item x="207"/>
        <item x="520"/>
        <item x="329"/>
        <item x="158"/>
        <item x="92"/>
        <item x="330"/>
        <item x="44"/>
        <item x="70"/>
        <item x="331"/>
        <item x="456"/>
        <item x="488"/>
        <item x="343"/>
        <item x="291"/>
        <item x="307"/>
        <item x="424"/>
        <item x="274"/>
        <item x="194"/>
        <item x="387"/>
        <item x="288"/>
        <item x="145"/>
        <item x="504"/>
        <item x="71"/>
        <item x="186"/>
        <item x="204"/>
        <item x="511"/>
        <item x="238"/>
        <item x="278"/>
        <item x="300"/>
        <item x="535"/>
        <item x="174"/>
        <item x="122"/>
        <item x="311"/>
        <item x="335"/>
        <item x="210"/>
        <item x="82"/>
        <item x="449"/>
        <item x="323"/>
        <item x="286"/>
        <item x="483"/>
        <item x="218"/>
        <item x="58"/>
        <item x="287"/>
        <item x="101"/>
        <item x="515"/>
        <item x="470"/>
        <item x="360"/>
        <item x="305"/>
        <item x="306"/>
        <item x="309"/>
        <item x="325"/>
        <item x="38"/>
        <item x="353"/>
        <item x="473"/>
        <item x="340"/>
        <item x="21"/>
        <item x="54"/>
        <item x="523"/>
        <item x="47"/>
        <item x="355"/>
        <item x="487"/>
        <item x="499"/>
        <item x="292"/>
        <item x="532"/>
        <item x="301"/>
        <item x="506"/>
        <item x="262"/>
        <item x="211"/>
        <item x="68"/>
        <item x="303"/>
        <item x="455"/>
        <item x="386"/>
        <item x="146"/>
        <item x="230"/>
        <item x="332"/>
        <item x="157"/>
        <item x="435"/>
        <item x="33"/>
        <item x="115"/>
        <item x="290"/>
        <item x="83"/>
        <item x="479"/>
        <item x="492"/>
        <item x="147"/>
        <item x="408"/>
        <item x="357"/>
        <item x="75"/>
        <item x="119"/>
        <item x="399"/>
        <item x="183"/>
        <item x="364"/>
        <item x="237"/>
        <item x="57"/>
        <item x="27"/>
        <item x="118"/>
        <item x="18"/>
        <item x="279"/>
        <item x="454"/>
        <item x="94"/>
        <item x="134"/>
        <item x="519"/>
        <item x="6"/>
        <item x="480"/>
        <item x="200"/>
        <item x="418"/>
        <item x="260"/>
        <item x="266"/>
        <item x="326"/>
        <item x="494"/>
        <item x="308"/>
        <item x="362"/>
        <item x="405"/>
        <item x="123"/>
        <item x="313"/>
        <item x="477"/>
        <item x="8"/>
        <item x="52"/>
        <item x="438"/>
        <item x="384"/>
        <item x="352"/>
        <item x="299"/>
        <item x="259"/>
        <item x="462"/>
        <item x="459"/>
        <item x="496"/>
        <item x="235"/>
        <item x="420"/>
        <item x="263"/>
        <item x="394"/>
        <item x="12"/>
        <item x="373"/>
        <item x="376"/>
        <item x="503"/>
        <item x="525"/>
        <item x="296"/>
        <item x="321"/>
        <item x="112"/>
        <item x="448"/>
        <item x="184"/>
        <item x="302"/>
        <item x="333"/>
        <item x="77"/>
        <item x="425"/>
        <item x="437"/>
        <item x="505"/>
        <item x="34"/>
        <item x="152"/>
        <item x="502"/>
        <item x="193"/>
        <item x="281"/>
        <item x="411"/>
        <item x="432"/>
        <item x="258"/>
        <item x="36"/>
        <item x="406"/>
        <item x="482"/>
        <item x="32"/>
        <item x="426"/>
        <item x="99"/>
        <item x="317"/>
        <item x="457"/>
        <item x="346"/>
        <item x="256"/>
        <item x="131"/>
        <item x="493"/>
        <item x="316"/>
        <item x="293"/>
        <item x="49"/>
        <item x="374"/>
        <item x="243"/>
        <item x="322"/>
        <item x="100"/>
        <item x="190"/>
        <item x="203"/>
        <item x="458"/>
        <item x="220"/>
        <item x="4"/>
        <item x="398"/>
        <item x="231"/>
        <item x="228"/>
        <item x="528"/>
        <item x="233"/>
        <item x="489"/>
        <item x="444"/>
        <item x="409"/>
        <item x="512"/>
        <item x="247"/>
        <item x="97"/>
        <item x="133"/>
        <item x="85"/>
        <item x="168"/>
        <item x="442"/>
        <item x="495"/>
        <item x="388"/>
        <item x="381"/>
        <item x="117"/>
        <item x="140"/>
        <item x="363"/>
        <item x="111"/>
        <item x="55"/>
        <item x="78"/>
        <item x="341"/>
        <item x="412"/>
        <item x="169"/>
        <item x="390"/>
        <item x="417"/>
        <item x="436"/>
        <item x="297"/>
        <item x="225"/>
        <item x="385"/>
        <item x="39"/>
        <item x="41"/>
        <item x="224"/>
        <item x="178"/>
        <item x="440"/>
        <item x="246"/>
        <item x="354"/>
        <item x="530"/>
        <item x="445"/>
        <item x="132"/>
        <item x="182"/>
        <item x="320"/>
        <item x="400"/>
        <item x="3"/>
        <item x="181"/>
        <item x="226"/>
        <item x="377"/>
        <item x="216"/>
        <item x="199"/>
        <item x="298"/>
        <item x="138"/>
        <item x="369"/>
        <item x="16"/>
        <item x="367"/>
        <item x="249"/>
        <item x="22"/>
        <item x="368"/>
        <item x="56"/>
        <item x="468"/>
        <item x="35"/>
        <item x="452"/>
        <item x="261"/>
        <item x="223"/>
        <item x="213"/>
        <item x="239"/>
        <item x="141"/>
        <item x="439"/>
        <item x="202"/>
        <item x="351"/>
        <item x="9"/>
        <item x="116"/>
        <item x="170"/>
        <item x="403"/>
        <item x="155"/>
        <item x="79"/>
        <item x="175"/>
        <item x="365"/>
        <item x="187"/>
        <item x="192"/>
        <item x="251"/>
        <item x="48"/>
        <item x="45"/>
        <item x="196"/>
        <item x="393"/>
        <item x="61"/>
        <item x="422"/>
        <item x="17"/>
        <item x="463"/>
        <item x="53"/>
        <item x="29"/>
        <item x="271"/>
        <item x="334"/>
        <item x="93"/>
        <item x="516"/>
        <item x="275"/>
        <item x="95"/>
        <item x="372"/>
        <item x="197"/>
        <item x="342"/>
        <item x="510"/>
        <item x="382"/>
        <item x="248"/>
        <item x="108"/>
        <item x="447"/>
        <item x="392"/>
        <item x="107"/>
        <item x="222"/>
        <item x="264"/>
        <item x="361"/>
        <item x="268"/>
        <item x="431"/>
        <item x="205"/>
        <item x="336"/>
        <item x="2"/>
        <item x="481"/>
        <item x="433"/>
        <item x="471"/>
        <item x="143"/>
        <item x="378"/>
        <item x="521"/>
        <item x="150"/>
        <item x="153"/>
        <item x="507"/>
        <item x="125"/>
        <item x="450"/>
        <item x="397"/>
        <item x="59"/>
        <item x="314"/>
        <item x="289"/>
        <item x="282"/>
        <item x="60"/>
        <item x="229"/>
        <item x="253"/>
        <item x="270"/>
        <item x="401"/>
        <item x="161"/>
        <item x="366"/>
        <item x="154"/>
        <item x="221"/>
        <item x="474"/>
        <item x="347"/>
        <item x="37"/>
        <item x="241"/>
        <item x="104"/>
        <item x="0"/>
        <item x="129"/>
        <item x="165"/>
        <item x="191"/>
        <item x="319"/>
        <item x="149"/>
        <item x="414"/>
        <item x="350"/>
        <item x="383"/>
        <item x="201"/>
        <item x="345"/>
        <item x="514"/>
        <item x="283"/>
        <item x="423"/>
        <item x="13"/>
        <item x="137"/>
        <item x="106"/>
        <item x="441"/>
        <item x="277"/>
        <item x="142"/>
        <item x="407"/>
        <item x="236"/>
        <item x="254"/>
        <item x="166"/>
        <item x="429"/>
        <item x="114"/>
        <item x="315"/>
        <item x="533"/>
        <item x="338"/>
        <item x="257"/>
        <item x="98"/>
        <item x="144"/>
        <item x="87"/>
        <item x="214"/>
        <item x="14"/>
        <item x="242"/>
        <item x="121"/>
        <item x="227"/>
        <item x="208"/>
        <item x="513"/>
        <item x="245"/>
        <item x="105"/>
        <item x="318"/>
        <item x="195"/>
        <item x="72"/>
        <item x="267"/>
        <item x="500"/>
        <item x="265"/>
        <item x="356"/>
        <item x="23"/>
        <item x="359"/>
        <item x="531"/>
        <item x="486"/>
        <item x="96"/>
        <item x="501"/>
        <item x="113"/>
        <item x="344"/>
        <item x="219"/>
        <item x="250"/>
        <item x="536"/>
        <item x="25"/>
        <item x="475"/>
        <item x="284"/>
        <item x="396"/>
        <item x="172"/>
        <item x="135"/>
        <item x="10"/>
        <item x="198"/>
        <item x="159"/>
        <item x="91"/>
        <item x="466"/>
        <item x="295"/>
        <item x="416"/>
        <item x="31"/>
        <item x="280"/>
        <item x="43"/>
        <item x="518"/>
        <item x="66"/>
        <item x="110"/>
        <item x="370"/>
        <item x="527"/>
        <item x="498"/>
        <item x="30"/>
        <item x="430"/>
        <item x="217"/>
        <item x="69"/>
        <item x="156"/>
        <item x="180"/>
        <item x="51"/>
        <item x="90"/>
        <item x="28"/>
        <item x="461"/>
        <item x="273"/>
        <item x="232"/>
        <item x="469"/>
        <item x="484"/>
        <item x="428"/>
        <item x="19"/>
        <item x="389"/>
        <item x="1"/>
        <item x="63"/>
        <item x="375"/>
        <item x="24"/>
        <item x="179"/>
        <item x="491"/>
        <item x="529"/>
        <item x="421"/>
        <item x="310"/>
        <item x="255"/>
        <item x="81"/>
        <item x="89"/>
        <item x="337"/>
        <item x="26"/>
        <item x="526"/>
        <item x="508"/>
        <item x="5"/>
        <item x="294"/>
        <item x="189"/>
        <item x="73"/>
        <item x="410"/>
        <item x="240"/>
        <item x="67"/>
        <item x="415"/>
        <item x="20"/>
        <item x="472"/>
        <item x="467"/>
        <item x="252"/>
        <item x="7"/>
        <item x="349"/>
        <item x="434"/>
        <item x="86"/>
        <item x="478"/>
        <item x="209"/>
        <item x="40"/>
        <item x="103"/>
        <item x="524"/>
        <item x="136"/>
        <item x="269"/>
        <item x="485"/>
        <item x="304"/>
        <item x="427"/>
        <item x="234"/>
        <item x="460"/>
        <item x="151"/>
        <item x="188"/>
        <item x="371"/>
        <item x="517"/>
        <item x="162"/>
        <item x="328"/>
        <item x="11"/>
        <item x="148"/>
        <item x="276"/>
        <item x="130"/>
        <item x="176"/>
        <item x="206"/>
        <item x="324"/>
        <item x="102"/>
        <item x="128"/>
        <item x="88"/>
        <item x="80"/>
        <item x="391"/>
        <item x="443"/>
        <item x="177"/>
        <item x="76"/>
        <item x="451"/>
        <item x="65"/>
        <item x="522"/>
        <item x="509"/>
        <item x="272"/>
        <item x="185"/>
        <item x="109"/>
        <item x="212"/>
        <item x="42"/>
        <item x="50"/>
        <item x="160"/>
        <item x="413"/>
        <item x="215"/>
        <item x="84"/>
        <item x="379"/>
        <item x="327"/>
        <item x="74"/>
        <item x="534"/>
        <item x="380"/>
        <item x="126"/>
        <item x="120"/>
        <item x="404"/>
        <item x="497"/>
        <item x="244"/>
        <item x="464"/>
        <item x="64"/>
        <item x="62"/>
        <item x="465"/>
        <item x="339"/>
        <item x="173"/>
        <item x="453"/>
        <item x="312"/>
        <item x="167"/>
        <item x="15"/>
        <item x="419"/>
        <item x="402"/>
        <item x="164"/>
        <item x="127"/>
        <item x="395"/>
        <item x="124"/>
        <item x="490"/>
        <item x="163"/>
        <item x="139"/>
        <item x="46"/>
        <item x="171"/>
        <item x="358"/>
        <item t="default"/>
      </items>
    </pivotField>
    <pivotField showAll="0"/>
    <pivotField axis="axisRow" numFmtId="168" showAll="0">
      <items count="987">
        <item x="618"/>
        <item x="226"/>
        <item x="185"/>
        <item x="908"/>
        <item x="791"/>
        <item x="574"/>
        <item x="970"/>
        <item x="173"/>
        <item x="585"/>
        <item x="715"/>
        <item x="918"/>
        <item x="680"/>
        <item x="608"/>
        <item x="646"/>
        <item x="631"/>
        <item x="757"/>
        <item x="55"/>
        <item x="591"/>
        <item x="81"/>
        <item x="815"/>
        <item x="326"/>
        <item x="390"/>
        <item x="12"/>
        <item x="750"/>
        <item x="889"/>
        <item x="884"/>
        <item x="655"/>
        <item x="416"/>
        <item x="713"/>
        <item x="90"/>
        <item x="531"/>
        <item x="606"/>
        <item x="37"/>
        <item x="864"/>
        <item x="107"/>
        <item x="963"/>
        <item x="719"/>
        <item x="661"/>
        <item x="598"/>
        <item x="668"/>
        <item x="774"/>
        <item x="743"/>
        <item x="341"/>
        <item x="76"/>
        <item x="99"/>
        <item x="601"/>
        <item x="506"/>
        <item x="559"/>
        <item x="149"/>
        <item x="846"/>
        <item x="402"/>
        <item x="844"/>
        <item x="444"/>
        <item x="692"/>
        <item x="779"/>
        <item x="850"/>
        <item x="124"/>
        <item x="386"/>
        <item x="724"/>
        <item x="830"/>
        <item x="41"/>
        <item x="318"/>
        <item x="584"/>
        <item x="648"/>
        <item x="930"/>
        <item x="46"/>
        <item x="542"/>
        <item x="867"/>
        <item x="936"/>
        <item x="104"/>
        <item x="333"/>
        <item x="345"/>
        <item x="446"/>
        <item x="62"/>
        <item x="45"/>
        <item x="693"/>
        <item x="917"/>
        <item x="200"/>
        <item x="569"/>
        <item x="645"/>
        <item x="349"/>
        <item x="673"/>
        <item x="958"/>
        <item x="437"/>
        <item x="212"/>
        <item x="535"/>
        <item x="679"/>
        <item x="906"/>
        <item x="643"/>
        <item x="178"/>
        <item x="73"/>
        <item x="589"/>
        <item x="23"/>
        <item x="496"/>
        <item x="920"/>
        <item x="441"/>
        <item x="737"/>
        <item x="565"/>
        <item x="581"/>
        <item x="258"/>
        <item x="94"/>
        <item x="145"/>
        <item x="549"/>
        <item x="489"/>
        <item x="795"/>
        <item x="1"/>
        <item x="827"/>
        <item x="885"/>
        <item x="19"/>
        <item x="698"/>
        <item x="639"/>
        <item x="400"/>
        <item x="216"/>
        <item x="845"/>
        <item x="317"/>
        <item x="676"/>
        <item x="352"/>
        <item x="525"/>
        <item x="174"/>
        <item x="953"/>
        <item x="793"/>
        <item x="344"/>
        <item x="68"/>
        <item x="177"/>
        <item x="351"/>
        <item x="905"/>
        <item x="442"/>
        <item x="593"/>
        <item x="263"/>
        <item x="755"/>
        <item x="667"/>
        <item x="959"/>
        <item x="307"/>
        <item x="571"/>
        <item x="982"/>
        <item x="170"/>
        <item x="627"/>
        <item x="769"/>
        <item x="431"/>
        <item x="362"/>
        <item x="491"/>
        <item x="796"/>
        <item x="637"/>
        <item x="547"/>
        <item x="106"/>
        <item x="824"/>
        <item x="235"/>
        <item x="708"/>
        <item x="976"/>
        <item x="296"/>
        <item x="25"/>
        <item x="115"/>
        <item x="482"/>
        <item x="578"/>
        <item x="782"/>
        <item x="334"/>
        <item x="916"/>
        <item x="257"/>
        <item x="469"/>
        <item x="934"/>
        <item x="642"/>
        <item x="89"/>
        <item x="819"/>
        <item x="763"/>
        <item x="910"/>
        <item x="738"/>
        <item x="695"/>
        <item x="800"/>
        <item x="228"/>
        <item x="357"/>
        <item x="678"/>
        <item x="422"/>
        <item x="872"/>
        <item x="938"/>
        <item x="423"/>
        <item x="835"/>
        <item x="888"/>
        <item x="108"/>
        <item x="798"/>
        <item x="786"/>
        <item x="358"/>
        <item x="316"/>
        <item x="5"/>
        <item x="195"/>
        <item x="922"/>
        <item x="260"/>
        <item x="337"/>
        <item x="937"/>
        <item x="301"/>
        <item x="853"/>
        <item x="740"/>
        <item x="401"/>
        <item x="33"/>
        <item x="572"/>
        <item x="966"/>
        <item x="485"/>
        <item x="425"/>
        <item x="660"/>
        <item x="539"/>
        <item x="65"/>
        <item x="722"/>
        <item x="462"/>
        <item x="309"/>
        <item x="288"/>
        <item x="577"/>
        <item x="773"/>
        <item x="429"/>
        <item x="210"/>
        <item x="957"/>
        <item x="259"/>
        <item x="636"/>
        <item x="230"/>
        <item x="501"/>
        <item x="132"/>
        <item x="261"/>
        <item x="748"/>
        <item x="7"/>
        <item x="356"/>
        <item x="59"/>
        <item x="328"/>
        <item x="109"/>
        <item x="893"/>
        <item x="338"/>
        <item x="657"/>
        <item x="36"/>
        <item x="404"/>
        <item x="167"/>
        <item x="735"/>
        <item x="555"/>
        <item x="626"/>
        <item x="573"/>
        <item x="720"/>
        <item x="717"/>
        <item x="287"/>
        <item x="249"/>
        <item x="220"/>
        <item x="408"/>
        <item x="886"/>
        <item x="350"/>
        <item x="607"/>
        <item x="843"/>
        <item x="184"/>
        <item x="902"/>
        <item x="669"/>
        <item x="214"/>
        <item x="947"/>
        <item x="810"/>
        <item x="206"/>
        <item x="522"/>
        <item x="756"/>
        <item x="775"/>
        <item x="739"/>
        <item x="590"/>
        <item x="463"/>
        <item x="580"/>
        <item x="532"/>
        <item x="409"/>
        <item x="664"/>
        <item x="336"/>
        <item x="199"/>
        <item x="383"/>
        <item x="44"/>
        <item x="273"/>
        <item x="833"/>
        <item x="675"/>
        <item x="49"/>
        <item x="624"/>
        <item x="391"/>
        <item x="285"/>
        <item x="406"/>
        <item x="841"/>
        <item x="379"/>
        <item x="138"/>
        <item x="51"/>
        <item x="685"/>
        <item x="520"/>
        <item x="826"/>
        <item x="470"/>
        <item x="447"/>
        <item x="544"/>
        <item x="554"/>
        <item x="157"/>
        <item x="849"/>
        <item x="30"/>
        <item x="514"/>
        <item x="246"/>
        <item x="389"/>
        <item x="659"/>
        <item x="475"/>
        <item x="449"/>
        <item x="622"/>
        <item x="121"/>
        <item x="939"/>
        <item x="797"/>
        <item x="264"/>
        <item x="973"/>
        <item x="777"/>
        <item x="327"/>
        <item x="368"/>
        <item x="894"/>
        <item x="557"/>
        <item x="311"/>
        <item x="945"/>
        <item x="78"/>
        <item x="211"/>
        <item x="605"/>
        <item x="940"/>
        <item x="513"/>
        <item x="822"/>
        <item x="380"/>
        <item x="732"/>
        <item x="267"/>
        <item x="619"/>
        <item x="697"/>
        <item x="376"/>
        <item x="534"/>
        <item x="139"/>
        <item x="24"/>
        <item x="93"/>
        <item x="375"/>
        <item x="741"/>
        <item x="836"/>
        <item x="365"/>
        <item x="759"/>
        <item x="405"/>
        <item x="575"/>
        <item x="420"/>
        <item x="538"/>
        <item x="829"/>
        <item x="294"/>
        <item x="417"/>
        <item x="690"/>
        <item x="747"/>
        <item x="548"/>
        <item x="38"/>
        <item x="268"/>
        <item x="269"/>
        <item x="236"/>
        <item x="813"/>
        <item x="265"/>
        <item x="140"/>
        <item x="831"/>
        <item x="871"/>
        <item x="935"/>
        <item x="629"/>
        <item x="343"/>
        <item x="385"/>
        <item x="620"/>
        <item x="859"/>
        <item x="292"/>
        <item x="599"/>
        <item x="239"/>
        <item x="540"/>
        <item x="393"/>
        <item x="515"/>
        <item x="382"/>
        <item x="196"/>
        <item x="495"/>
        <item x="299"/>
        <item x="794"/>
        <item x="213"/>
        <item x="812"/>
        <item x="467"/>
        <item x="186"/>
        <item x="632"/>
        <item x="433"/>
        <item x="892"/>
        <item x="752"/>
        <item x="980"/>
        <item x="978"/>
        <item x="891"/>
        <item x="614"/>
        <item x="570"/>
        <item x="159"/>
        <item x="484"/>
        <item x="653"/>
        <item x="321"/>
        <item x="459"/>
        <item x="286"/>
        <item x="825"/>
        <item x="498"/>
        <item x="392"/>
        <item x="597"/>
        <item x="665"/>
        <item x="865"/>
        <item x="440"/>
        <item x="890"/>
        <item x="279"/>
        <item x="709"/>
        <item x="537"/>
        <item x="275"/>
        <item x="407"/>
        <item x="638"/>
        <item x="929"/>
        <item x="255"/>
        <item x="280"/>
        <item x="290"/>
        <item x="507"/>
        <item x="252"/>
        <item x="602"/>
        <item x="688"/>
        <item x="546"/>
        <item x="497"/>
        <item x="944"/>
        <item x="295"/>
        <item x="898"/>
        <item x="72"/>
        <item x="877"/>
        <item x="508"/>
        <item x="516"/>
        <item x="927"/>
        <item x="156"/>
        <item x="576"/>
        <item x="415"/>
        <item x="48"/>
        <item x="232"/>
        <item x="863"/>
        <item x="17"/>
        <item x="621"/>
        <item x="493"/>
        <item x="972"/>
        <item x="556"/>
        <item x="490"/>
        <item x="304"/>
        <item x="110"/>
        <item x="373"/>
        <item x="820"/>
        <item x="135"/>
        <item x="967"/>
        <item x="322"/>
        <item x="931"/>
        <item x="896"/>
        <item x="529"/>
        <item x="904"/>
        <item x="634"/>
        <item x="866"/>
        <item x="586"/>
        <item x="388"/>
        <item x="432"/>
        <item x="895"/>
        <item x="82"/>
        <item x="158"/>
        <item x="596"/>
        <item x="396"/>
        <item x="465"/>
        <item x="647"/>
        <item x="231"/>
        <item x="716"/>
        <item x="32"/>
        <item x="377"/>
        <item x="652"/>
        <item x="558"/>
        <item x="472"/>
        <item x="105"/>
        <item x="764"/>
        <item x="483"/>
        <item x="427"/>
        <item x="694"/>
        <item x="245"/>
        <item x="8"/>
        <item x="817"/>
        <item x="129"/>
        <item x="509"/>
        <item x="84"/>
        <item x="912"/>
        <item x="165"/>
        <item x="270"/>
        <item x="153"/>
        <item x="511"/>
        <item x="583"/>
        <item x="754"/>
        <item x="53"/>
        <item x="189"/>
        <item x="727"/>
        <item x="438"/>
        <item x="180"/>
        <item x="182"/>
        <item x="964"/>
        <item x="448"/>
        <item x="454"/>
        <item x="762"/>
        <item x="367"/>
        <item x="691"/>
        <item x="31"/>
        <item x="21"/>
        <item x="948"/>
        <item x="615"/>
        <item x="879"/>
        <item x="126"/>
        <item x="880"/>
        <item x="857"/>
        <item x="502"/>
        <item x="650"/>
        <item x="666"/>
        <item x="613"/>
        <item x="553"/>
        <item x="983"/>
        <item x="370"/>
        <item x="118"/>
        <item x="0"/>
        <item x="181"/>
        <item x="854"/>
        <item x="703"/>
        <item x="734"/>
        <item x="378"/>
        <item x="951"/>
        <item x="253"/>
        <item x="723"/>
        <item x="567"/>
        <item x="975"/>
        <item x="238"/>
        <item x="131"/>
        <item x="488"/>
        <item x="315"/>
        <item x="876"/>
        <item x="649"/>
        <item x="792"/>
        <item x="119"/>
        <item x="112"/>
        <item x="790"/>
        <item x="943"/>
        <item x="353"/>
        <item x="85"/>
        <item x="552"/>
        <item x="456"/>
        <item x="616"/>
        <item x="909"/>
        <item x="949"/>
        <item x="860"/>
        <item x="731"/>
        <item x="298"/>
        <item x="26"/>
        <item x="314"/>
        <item x="718"/>
        <item x="550"/>
        <item x="753"/>
        <item x="913"/>
        <item x="761"/>
        <item x="771"/>
        <item x="354"/>
        <item x="42"/>
        <item x="858"/>
        <item x="457"/>
        <item x="221"/>
        <item x="600"/>
        <item x="63"/>
        <item x="52"/>
        <item x="745"/>
        <item x="302"/>
        <item x="403"/>
        <item x="233"/>
        <item x="582"/>
        <item x="977"/>
        <item x="941"/>
        <item x="136"/>
        <item x="203"/>
        <item x="840"/>
        <item x="609"/>
        <item x="563"/>
        <item x="69"/>
        <item x="778"/>
        <item x="662"/>
        <item x="974"/>
        <item x="122"/>
        <item x="699"/>
        <item x="533"/>
        <item x="187"/>
        <item x="460"/>
        <item x="308"/>
        <item x="566"/>
        <item x="355"/>
        <item x="789"/>
        <item x="503"/>
        <item x="984"/>
        <item x="443"/>
        <item x="190"/>
        <item x="6"/>
        <item x="623"/>
        <item x="701"/>
        <item x="823"/>
        <item x="103"/>
        <item x="114"/>
        <item x="224"/>
        <item x="528"/>
        <item x="933"/>
        <item x="176"/>
        <item x="202"/>
        <item x="450"/>
        <item x="102"/>
        <item x="985"/>
        <item x="781"/>
        <item x="155"/>
        <item x="611"/>
        <item x="418"/>
        <item x="204"/>
        <item x="700"/>
        <item x="962"/>
        <item x="434"/>
        <item x="736"/>
        <item x="77"/>
        <item x="477"/>
        <item x="146"/>
        <item x="453"/>
        <item x="704"/>
        <item x="744"/>
        <item x="805"/>
        <item x="67"/>
        <item x="562"/>
        <item x="803"/>
        <item x="160"/>
        <item x="137"/>
        <item x="809"/>
        <item x="847"/>
        <item x="281"/>
        <item x="151"/>
        <item x="504"/>
        <item x="696"/>
        <item x="960"/>
        <item x="834"/>
        <item x="254"/>
        <item x="371"/>
        <item x="478"/>
        <item x="123"/>
        <item x="816"/>
        <item x="682"/>
        <item x="240"/>
        <item x="278"/>
        <item x="243"/>
        <item x="500"/>
        <item x="968"/>
        <item x="923"/>
        <item x="87"/>
        <item x="799"/>
        <item x="277"/>
        <item x="324"/>
        <item x="194"/>
        <item x="899"/>
        <item x="851"/>
        <item x="656"/>
        <item x="363"/>
        <item x="721"/>
        <item x="141"/>
        <item x="672"/>
        <item x="346"/>
        <item x="828"/>
        <item x="856"/>
        <item x="804"/>
        <item x="144"/>
        <item x="384"/>
        <item x="476"/>
        <item x="730"/>
        <item x="13"/>
        <item x="445"/>
        <item x="342"/>
        <item x="802"/>
        <item x="956"/>
        <item x="594"/>
        <item x="473"/>
        <item x="148"/>
        <item x="169"/>
        <item x="120"/>
        <item x="855"/>
        <item x="332"/>
        <item x="320"/>
        <item x="780"/>
        <item x="421"/>
        <item x="603"/>
        <item x="413"/>
        <item x="768"/>
        <item x="116"/>
        <item x="272"/>
        <item x="256"/>
        <item x="339"/>
        <item x="150"/>
        <item x="227"/>
        <item x="2"/>
        <item x="96"/>
        <item x="183"/>
        <item x="274"/>
        <item x="842"/>
        <item x="641"/>
        <item x="411"/>
        <item x="568"/>
        <item x="517"/>
        <item x="50"/>
        <item x="612"/>
        <item x="868"/>
        <item x="18"/>
        <item x="751"/>
        <item x="47"/>
        <item x="900"/>
        <item x="217"/>
        <item x="942"/>
        <item x="926"/>
        <item x="191"/>
        <item x="458"/>
        <item x="251"/>
        <item x="70"/>
        <item x="474"/>
        <item x="928"/>
        <item x="677"/>
        <item x="188"/>
        <item x="61"/>
        <item x="818"/>
        <item x="172"/>
        <item x="510"/>
        <item x="313"/>
        <item x="436"/>
        <item x="331"/>
        <item x="874"/>
        <item x="223"/>
        <item x="749"/>
        <item x="16"/>
        <item x="807"/>
        <item x="811"/>
        <item x="35"/>
        <item x="166"/>
        <item x="113"/>
        <item x="198"/>
        <item x="419"/>
        <item x="205"/>
        <item x="201"/>
        <item x="725"/>
        <item x="229"/>
        <item x="218"/>
        <item x="451"/>
        <item x="364"/>
        <item x="168"/>
        <item x="684"/>
        <item x="903"/>
        <item x="654"/>
        <item x="28"/>
        <item x="297"/>
        <item x="954"/>
        <item x="543"/>
        <item x="772"/>
        <item x="241"/>
        <item x="335"/>
        <item x="965"/>
        <item x="435"/>
        <item x="330"/>
        <item x="262"/>
        <item x="10"/>
        <item x="215"/>
        <item x="360"/>
        <item x="784"/>
        <item x="234"/>
        <item x="925"/>
        <item x="88"/>
        <item x="726"/>
        <item x="266"/>
        <item x="873"/>
        <item x="887"/>
        <item x="479"/>
        <item x="651"/>
        <item x="366"/>
        <item x="92"/>
        <item x="644"/>
        <item x="424"/>
        <item x="117"/>
        <item x="98"/>
        <item x="250"/>
        <item x="276"/>
        <item x="34"/>
        <item x="536"/>
        <item x="702"/>
        <item x="412"/>
        <item x="4"/>
        <item x="706"/>
        <item x="686"/>
        <item x="310"/>
        <item x="869"/>
        <item x="40"/>
        <item x="369"/>
        <item x="758"/>
        <item x="878"/>
        <item x="300"/>
        <item x="486"/>
        <item x="466"/>
        <item x="915"/>
        <item x="414"/>
        <item x="635"/>
        <item x="452"/>
        <item x="630"/>
        <item x="955"/>
        <item x="209"/>
        <item x="95"/>
        <item x="461"/>
        <item x="329"/>
        <item x="464"/>
        <item x="247"/>
        <item x="588"/>
        <item x="323"/>
        <item x="674"/>
        <item x="237"/>
        <item x="207"/>
        <item x="921"/>
        <item x="43"/>
        <item x="66"/>
        <item x="39"/>
        <item x="11"/>
        <item x="919"/>
        <item x="512"/>
        <item x="875"/>
        <item x="524"/>
        <item x="838"/>
        <item x="80"/>
        <item x="981"/>
        <item x="83"/>
        <item x="394"/>
        <item x="480"/>
        <item x="783"/>
        <item x="397"/>
        <item x="175"/>
        <item x="770"/>
        <item x="633"/>
        <item x="687"/>
        <item x="348"/>
        <item x="545"/>
        <item x="60"/>
        <item x="303"/>
        <item x="861"/>
        <item x="924"/>
        <item x="86"/>
        <item x="242"/>
        <item x="776"/>
        <item x="9"/>
        <item x="56"/>
        <item x="381"/>
        <item x="518"/>
        <item x="127"/>
        <item x="64"/>
        <item x="128"/>
        <item x="74"/>
        <item x="530"/>
        <item x="14"/>
        <item x="179"/>
        <item x="681"/>
        <item x="312"/>
        <item x="154"/>
        <item x="742"/>
        <item x="729"/>
        <item x="164"/>
        <item x="950"/>
        <item x="428"/>
        <item x="760"/>
        <item x="487"/>
        <item x="946"/>
        <item x="604"/>
        <item x="728"/>
        <item x="505"/>
        <item x="347"/>
        <item x="468"/>
        <item x="325"/>
        <item x="111"/>
        <item x="901"/>
        <item x="147"/>
        <item x="526"/>
        <item x="426"/>
        <item x="471"/>
        <item x="163"/>
        <item x="689"/>
        <item x="222"/>
        <item x="372"/>
        <item x="499"/>
        <item x="907"/>
        <item x="374"/>
        <item x="766"/>
        <item x="101"/>
        <item x="15"/>
        <item x="340"/>
        <item x="579"/>
        <item x="658"/>
        <item x="587"/>
        <item x="79"/>
        <item x="410"/>
        <item x="91"/>
        <item x="564"/>
        <item x="897"/>
        <item x="707"/>
        <item x="291"/>
        <item x="711"/>
        <item x="852"/>
        <item x="911"/>
        <item x="305"/>
        <item x="862"/>
        <item x="133"/>
        <item x="628"/>
        <item x="171"/>
        <item x="387"/>
        <item x="54"/>
        <item x="192"/>
        <item x="710"/>
        <item x="969"/>
        <item x="788"/>
        <item x="293"/>
        <item x="197"/>
        <item x="248"/>
        <item x="979"/>
        <item x="806"/>
        <item x="767"/>
        <item x="971"/>
        <item x="848"/>
        <item x="714"/>
        <item x="521"/>
        <item x="58"/>
        <item x="319"/>
        <item x="492"/>
        <item x="527"/>
        <item x="125"/>
        <item x="399"/>
        <item x="71"/>
        <item x="883"/>
        <item x="837"/>
        <item x="551"/>
        <item x="361"/>
        <item x="398"/>
        <item x="134"/>
        <item x="821"/>
        <item x="100"/>
        <item x="161"/>
        <item x="610"/>
        <item x="162"/>
        <item x="455"/>
        <item x="595"/>
        <item x="801"/>
        <item x="130"/>
        <item x="961"/>
        <item x="663"/>
        <item x="870"/>
        <item x="22"/>
        <item x="395"/>
        <item x="808"/>
        <item x="671"/>
        <item x="814"/>
        <item x="20"/>
        <item x="359"/>
        <item x="271"/>
        <item x="430"/>
        <item x="519"/>
        <item x="640"/>
        <item x="75"/>
        <item x="225"/>
        <item x="523"/>
        <item x="289"/>
        <item x="152"/>
        <item x="683"/>
        <item x="481"/>
        <item x="882"/>
        <item x="881"/>
        <item x="282"/>
        <item x="306"/>
        <item x="494"/>
        <item x="97"/>
        <item x="839"/>
        <item x="670"/>
        <item x="142"/>
        <item x="193"/>
        <item x="541"/>
        <item x="785"/>
        <item x="208"/>
        <item x="787"/>
        <item x="746"/>
        <item x="932"/>
        <item x="765"/>
        <item x="3"/>
        <item x="617"/>
        <item x="57"/>
        <item x="952"/>
        <item x="733"/>
        <item x="27"/>
        <item x="832"/>
        <item x="592"/>
        <item x="219"/>
        <item x="560"/>
        <item x="283"/>
        <item x="143"/>
        <item x="712"/>
        <item x="244"/>
        <item x="439"/>
        <item x="29"/>
        <item x="625"/>
        <item x="561"/>
        <item x="284"/>
        <item x="705"/>
        <item x="914"/>
        <item t="default"/>
      </items>
    </pivotField>
    <pivotField dataField="1" numFmtId="1" showAll="0">
      <items count="62">
        <item x="40"/>
        <item x="52"/>
        <item x="34"/>
        <item x="14"/>
        <item x="12"/>
        <item x="27"/>
        <item x="18"/>
        <item x="44"/>
        <item x="11"/>
        <item x="39"/>
        <item x="26"/>
        <item x="0"/>
        <item x="38"/>
        <item x="21"/>
        <item x="59"/>
        <item x="55"/>
        <item x="5"/>
        <item x="29"/>
        <item x="57"/>
        <item x="56"/>
        <item x="47"/>
        <item x="8"/>
        <item x="49"/>
        <item x="60"/>
        <item x="48"/>
        <item x="2"/>
        <item x="36"/>
        <item x="22"/>
        <item x="16"/>
        <item x="17"/>
        <item x="1"/>
        <item x="42"/>
        <item x="23"/>
        <item x="24"/>
        <item x="13"/>
        <item x="41"/>
        <item x="9"/>
        <item x="53"/>
        <item x="28"/>
        <item x="19"/>
        <item x="51"/>
        <item x="50"/>
        <item x="46"/>
        <item x="30"/>
        <item x="43"/>
        <item x="35"/>
        <item x="20"/>
        <item x="33"/>
        <item x="25"/>
        <item x="4"/>
        <item x="6"/>
        <item x="58"/>
        <item x="31"/>
        <item x="7"/>
        <item x="45"/>
        <item x="37"/>
        <item x="3"/>
        <item x="32"/>
        <item x="10"/>
        <item x="15"/>
        <item x="54"/>
        <item t="default"/>
      </items>
    </pivotField>
    <pivotField numFmtId="1" showAll="0"/>
    <pivotField showAll="0">
      <items count="25">
        <item x="20"/>
        <item x="22"/>
        <item x="15"/>
        <item x="18"/>
        <item x="6"/>
        <item x="7"/>
        <item x="17"/>
        <item x="4"/>
        <item x="21"/>
        <item x="3"/>
        <item x="8"/>
        <item x="14"/>
        <item x="2"/>
        <item x="0"/>
        <item x="11"/>
        <item x="12"/>
        <item x="16"/>
        <item x="9"/>
        <item x="1"/>
        <item x="5"/>
        <item x="10"/>
        <item x="19"/>
        <item x="13"/>
        <item x="2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9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t="grand">
      <x/>
    </i>
  </rowItems>
  <colItems count="1">
    <i/>
  </colItems>
  <dataFields count="1">
    <dataField name="Average of Patient_Satisfaction" fld="7" subtotal="average" baseField="3" baseItem="0" numFmtId="1"/>
  </dataFields>
  <formats count="1">
    <format dxfId="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406C77-0ABF-48A7-B255-B0D8722046C0}" name="PivotTable8"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
  <location ref="A31:B38" firstHeaderRow="1" firstDataRow="1" firstDataCol="1"/>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 showAll="0"/>
    <pivotField showAll="0">
      <items count="3">
        <item x="0"/>
        <item x="1"/>
        <item t="default"/>
      </items>
    </pivotField>
    <pivotField axis="axisRow" showAll="0">
      <items count="7">
        <item x="1"/>
        <item x="3"/>
        <item x="4"/>
        <item x="2"/>
        <item x="0"/>
        <item x="5"/>
        <item t="default"/>
      </items>
    </pivotField>
    <pivotField numFmtId="14" showAll="0">
      <items count="538">
        <item x="285"/>
        <item x="476"/>
        <item x="446"/>
        <item x="348"/>
        <item x="207"/>
        <item x="520"/>
        <item x="329"/>
        <item x="158"/>
        <item x="92"/>
        <item x="330"/>
        <item x="44"/>
        <item x="70"/>
        <item x="331"/>
        <item x="456"/>
        <item x="488"/>
        <item x="343"/>
        <item x="291"/>
        <item x="307"/>
        <item x="424"/>
        <item x="274"/>
        <item x="194"/>
        <item x="387"/>
        <item x="288"/>
        <item x="145"/>
        <item x="504"/>
        <item x="71"/>
        <item x="186"/>
        <item x="204"/>
        <item x="511"/>
        <item x="238"/>
        <item x="278"/>
        <item x="300"/>
        <item x="535"/>
        <item x="174"/>
        <item x="122"/>
        <item x="311"/>
        <item x="335"/>
        <item x="210"/>
        <item x="82"/>
        <item x="449"/>
        <item x="323"/>
        <item x="286"/>
        <item x="483"/>
        <item x="218"/>
        <item x="58"/>
        <item x="287"/>
        <item x="101"/>
        <item x="515"/>
        <item x="470"/>
        <item x="360"/>
        <item x="305"/>
        <item x="306"/>
        <item x="309"/>
        <item x="325"/>
        <item x="38"/>
        <item x="353"/>
        <item x="473"/>
        <item x="340"/>
        <item x="21"/>
        <item x="54"/>
        <item x="523"/>
        <item x="47"/>
        <item x="355"/>
        <item x="487"/>
        <item x="499"/>
        <item x="292"/>
        <item x="532"/>
        <item x="301"/>
        <item x="506"/>
        <item x="262"/>
        <item x="211"/>
        <item x="68"/>
        <item x="303"/>
        <item x="455"/>
        <item x="386"/>
        <item x="146"/>
        <item x="230"/>
        <item x="332"/>
        <item x="157"/>
        <item x="435"/>
        <item x="33"/>
        <item x="115"/>
        <item x="290"/>
        <item x="83"/>
        <item x="479"/>
        <item x="492"/>
        <item x="147"/>
        <item x="408"/>
        <item x="357"/>
        <item x="75"/>
        <item x="119"/>
        <item x="399"/>
        <item x="183"/>
        <item x="364"/>
        <item x="237"/>
        <item x="57"/>
        <item x="27"/>
        <item x="118"/>
        <item x="18"/>
        <item x="279"/>
        <item x="454"/>
        <item x="94"/>
        <item x="134"/>
        <item x="519"/>
        <item x="6"/>
        <item x="480"/>
        <item x="200"/>
        <item x="418"/>
        <item x="260"/>
        <item x="266"/>
        <item x="326"/>
        <item x="494"/>
        <item x="308"/>
        <item x="362"/>
        <item x="405"/>
        <item x="123"/>
        <item x="313"/>
        <item x="477"/>
        <item x="8"/>
        <item x="52"/>
        <item x="438"/>
        <item x="384"/>
        <item x="352"/>
        <item x="299"/>
        <item x="259"/>
        <item x="462"/>
        <item x="459"/>
        <item x="496"/>
        <item x="235"/>
        <item x="420"/>
        <item x="263"/>
        <item x="394"/>
        <item x="12"/>
        <item x="373"/>
        <item x="376"/>
        <item x="503"/>
        <item x="525"/>
        <item x="296"/>
        <item x="321"/>
        <item x="112"/>
        <item x="448"/>
        <item x="184"/>
        <item x="302"/>
        <item x="333"/>
        <item x="77"/>
        <item x="425"/>
        <item x="437"/>
        <item x="505"/>
        <item x="34"/>
        <item x="152"/>
        <item x="502"/>
        <item x="193"/>
        <item x="281"/>
        <item x="411"/>
        <item x="432"/>
        <item x="258"/>
        <item x="36"/>
        <item x="406"/>
        <item x="482"/>
        <item x="32"/>
        <item x="426"/>
        <item x="99"/>
        <item x="317"/>
        <item x="457"/>
        <item x="346"/>
        <item x="256"/>
        <item x="131"/>
        <item x="493"/>
        <item x="316"/>
        <item x="293"/>
        <item x="49"/>
        <item x="374"/>
        <item x="243"/>
        <item x="322"/>
        <item x="100"/>
        <item x="190"/>
        <item x="203"/>
        <item x="458"/>
        <item x="220"/>
        <item x="4"/>
        <item x="398"/>
        <item x="231"/>
        <item x="228"/>
        <item x="528"/>
        <item x="233"/>
        <item x="489"/>
        <item x="444"/>
        <item x="409"/>
        <item x="512"/>
        <item x="247"/>
        <item x="97"/>
        <item x="133"/>
        <item x="85"/>
        <item x="168"/>
        <item x="442"/>
        <item x="495"/>
        <item x="388"/>
        <item x="381"/>
        <item x="117"/>
        <item x="140"/>
        <item x="363"/>
        <item x="111"/>
        <item x="55"/>
        <item x="78"/>
        <item x="341"/>
        <item x="412"/>
        <item x="169"/>
        <item x="390"/>
        <item x="417"/>
        <item x="436"/>
        <item x="297"/>
        <item x="225"/>
        <item x="385"/>
        <item x="39"/>
        <item x="41"/>
        <item x="224"/>
        <item x="178"/>
        <item x="440"/>
        <item x="246"/>
        <item x="354"/>
        <item x="530"/>
        <item x="445"/>
        <item x="132"/>
        <item x="182"/>
        <item x="320"/>
        <item x="400"/>
        <item x="3"/>
        <item x="181"/>
        <item x="226"/>
        <item x="377"/>
        <item x="216"/>
        <item x="199"/>
        <item x="298"/>
        <item x="138"/>
        <item x="369"/>
        <item x="16"/>
        <item x="367"/>
        <item x="249"/>
        <item x="22"/>
        <item x="368"/>
        <item x="56"/>
        <item x="468"/>
        <item x="35"/>
        <item x="452"/>
        <item x="261"/>
        <item x="223"/>
        <item x="213"/>
        <item x="239"/>
        <item x="141"/>
        <item x="439"/>
        <item x="202"/>
        <item x="351"/>
        <item x="9"/>
        <item x="116"/>
        <item x="170"/>
        <item x="403"/>
        <item x="155"/>
        <item x="79"/>
        <item x="175"/>
        <item x="365"/>
        <item x="187"/>
        <item x="192"/>
        <item x="251"/>
        <item x="48"/>
        <item x="45"/>
        <item x="196"/>
        <item x="393"/>
        <item x="61"/>
        <item x="422"/>
        <item x="17"/>
        <item x="463"/>
        <item x="53"/>
        <item x="29"/>
        <item x="271"/>
        <item x="334"/>
        <item x="93"/>
        <item x="516"/>
        <item x="275"/>
        <item x="95"/>
        <item x="372"/>
        <item x="197"/>
        <item x="342"/>
        <item x="510"/>
        <item x="382"/>
        <item x="248"/>
        <item x="108"/>
        <item x="447"/>
        <item x="392"/>
        <item x="107"/>
        <item x="222"/>
        <item x="264"/>
        <item x="361"/>
        <item x="268"/>
        <item x="431"/>
        <item x="205"/>
        <item x="336"/>
        <item x="2"/>
        <item x="481"/>
        <item x="433"/>
        <item x="471"/>
        <item x="143"/>
        <item x="378"/>
        <item x="521"/>
        <item x="150"/>
        <item x="153"/>
        <item x="507"/>
        <item x="125"/>
        <item x="450"/>
        <item x="397"/>
        <item x="59"/>
        <item x="314"/>
        <item x="289"/>
        <item x="282"/>
        <item x="60"/>
        <item x="229"/>
        <item x="253"/>
        <item x="270"/>
        <item x="401"/>
        <item x="161"/>
        <item x="366"/>
        <item x="154"/>
        <item x="221"/>
        <item x="474"/>
        <item x="347"/>
        <item x="37"/>
        <item x="241"/>
        <item x="104"/>
        <item x="0"/>
        <item x="129"/>
        <item x="165"/>
        <item x="191"/>
        <item x="319"/>
        <item x="149"/>
        <item x="414"/>
        <item x="350"/>
        <item x="383"/>
        <item x="201"/>
        <item x="345"/>
        <item x="514"/>
        <item x="283"/>
        <item x="423"/>
        <item x="13"/>
        <item x="137"/>
        <item x="106"/>
        <item x="441"/>
        <item x="277"/>
        <item x="142"/>
        <item x="407"/>
        <item x="236"/>
        <item x="254"/>
        <item x="166"/>
        <item x="429"/>
        <item x="114"/>
        <item x="315"/>
        <item x="533"/>
        <item x="338"/>
        <item x="257"/>
        <item x="98"/>
        <item x="144"/>
        <item x="87"/>
        <item x="214"/>
        <item x="14"/>
        <item x="242"/>
        <item x="121"/>
        <item x="227"/>
        <item x="208"/>
        <item x="513"/>
        <item x="245"/>
        <item x="105"/>
        <item x="318"/>
        <item x="195"/>
        <item x="72"/>
        <item x="267"/>
        <item x="500"/>
        <item x="265"/>
        <item x="356"/>
        <item x="23"/>
        <item x="359"/>
        <item x="531"/>
        <item x="486"/>
        <item x="96"/>
        <item x="501"/>
        <item x="113"/>
        <item x="344"/>
        <item x="219"/>
        <item x="250"/>
        <item x="536"/>
        <item x="25"/>
        <item x="475"/>
        <item x="284"/>
        <item x="396"/>
        <item x="172"/>
        <item x="135"/>
        <item x="10"/>
        <item x="198"/>
        <item x="159"/>
        <item x="91"/>
        <item x="466"/>
        <item x="295"/>
        <item x="416"/>
        <item x="31"/>
        <item x="280"/>
        <item x="43"/>
        <item x="518"/>
        <item x="66"/>
        <item x="110"/>
        <item x="370"/>
        <item x="527"/>
        <item x="498"/>
        <item x="30"/>
        <item x="430"/>
        <item x="217"/>
        <item x="69"/>
        <item x="156"/>
        <item x="180"/>
        <item x="51"/>
        <item x="90"/>
        <item x="28"/>
        <item x="461"/>
        <item x="273"/>
        <item x="232"/>
        <item x="469"/>
        <item x="484"/>
        <item x="428"/>
        <item x="19"/>
        <item x="389"/>
        <item x="1"/>
        <item x="63"/>
        <item x="375"/>
        <item x="24"/>
        <item x="179"/>
        <item x="491"/>
        <item x="529"/>
        <item x="421"/>
        <item x="310"/>
        <item x="255"/>
        <item x="81"/>
        <item x="89"/>
        <item x="337"/>
        <item x="26"/>
        <item x="526"/>
        <item x="508"/>
        <item x="5"/>
        <item x="294"/>
        <item x="189"/>
        <item x="73"/>
        <item x="410"/>
        <item x="240"/>
        <item x="67"/>
        <item x="415"/>
        <item x="20"/>
        <item x="472"/>
        <item x="467"/>
        <item x="252"/>
        <item x="7"/>
        <item x="349"/>
        <item x="434"/>
        <item x="86"/>
        <item x="478"/>
        <item x="209"/>
        <item x="40"/>
        <item x="103"/>
        <item x="524"/>
        <item x="136"/>
        <item x="269"/>
        <item x="485"/>
        <item x="304"/>
        <item x="427"/>
        <item x="234"/>
        <item x="460"/>
        <item x="151"/>
        <item x="188"/>
        <item x="371"/>
        <item x="517"/>
        <item x="162"/>
        <item x="328"/>
        <item x="11"/>
        <item x="148"/>
        <item x="276"/>
        <item x="130"/>
        <item x="176"/>
        <item x="206"/>
        <item x="324"/>
        <item x="102"/>
        <item x="128"/>
        <item x="88"/>
        <item x="80"/>
        <item x="391"/>
        <item x="443"/>
        <item x="177"/>
        <item x="76"/>
        <item x="451"/>
        <item x="65"/>
        <item x="522"/>
        <item x="509"/>
        <item x="272"/>
        <item x="185"/>
        <item x="109"/>
        <item x="212"/>
        <item x="42"/>
        <item x="50"/>
        <item x="160"/>
        <item x="413"/>
        <item x="215"/>
        <item x="84"/>
        <item x="379"/>
        <item x="327"/>
        <item x="74"/>
        <item x="534"/>
        <item x="380"/>
        <item x="126"/>
        <item x="120"/>
        <item x="404"/>
        <item x="497"/>
        <item x="244"/>
        <item x="464"/>
        <item x="64"/>
        <item x="62"/>
        <item x="465"/>
        <item x="339"/>
        <item x="173"/>
        <item x="453"/>
        <item x="312"/>
        <item x="167"/>
        <item x="15"/>
        <item x="419"/>
        <item x="402"/>
        <item x="164"/>
        <item x="127"/>
        <item x="395"/>
        <item x="124"/>
        <item x="490"/>
        <item x="163"/>
        <item x="139"/>
        <item x="46"/>
        <item x="171"/>
        <item x="358"/>
        <item t="default"/>
      </items>
    </pivotField>
    <pivotField showAll="0"/>
    <pivotField numFmtId="168" showAll="0"/>
    <pivotField numFmtId="1" showAll="0">
      <items count="62">
        <item x="40"/>
        <item x="52"/>
        <item x="34"/>
        <item x="14"/>
        <item x="12"/>
        <item x="27"/>
        <item x="18"/>
        <item x="44"/>
        <item x="11"/>
        <item x="39"/>
        <item x="26"/>
        <item x="0"/>
        <item x="38"/>
        <item x="21"/>
        <item x="59"/>
        <item x="55"/>
        <item x="5"/>
        <item x="29"/>
        <item x="57"/>
        <item x="56"/>
        <item x="47"/>
        <item x="8"/>
        <item x="49"/>
        <item x="60"/>
        <item x="48"/>
        <item x="2"/>
        <item x="36"/>
        <item x="22"/>
        <item x="16"/>
        <item x="17"/>
        <item x="1"/>
        <item x="42"/>
        <item x="23"/>
        <item x="24"/>
        <item x="13"/>
        <item x="41"/>
        <item x="9"/>
        <item x="53"/>
        <item x="28"/>
        <item x="19"/>
        <item x="51"/>
        <item x="50"/>
        <item x="46"/>
        <item x="30"/>
        <item x="43"/>
        <item x="35"/>
        <item x="20"/>
        <item x="33"/>
        <item x="25"/>
        <item x="4"/>
        <item x="6"/>
        <item x="58"/>
        <item x="31"/>
        <item x="7"/>
        <item x="45"/>
        <item x="37"/>
        <item x="3"/>
        <item x="32"/>
        <item x="10"/>
        <item x="15"/>
        <item x="54"/>
        <item t="default"/>
      </items>
    </pivotField>
    <pivotField dataField="1" numFmtId="1" showAll="0"/>
    <pivotField showAll="0">
      <items count="25">
        <item x="20"/>
        <item x="22"/>
        <item x="15"/>
        <item x="18"/>
        <item x="6"/>
        <item x="7"/>
        <item x="17"/>
        <item x="4"/>
        <item x="21"/>
        <item x="3"/>
        <item x="8"/>
        <item x="14"/>
        <item x="2"/>
        <item x="0"/>
        <item x="11"/>
        <item x="12"/>
        <item x="16"/>
        <item x="9"/>
        <item x="1"/>
        <item x="5"/>
        <item x="10"/>
        <item x="19"/>
        <item x="13"/>
        <item x="2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7">
    <i>
      <x/>
    </i>
    <i>
      <x v="1"/>
    </i>
    <i>
      <x v="2"/>
    </i>
    <i>
      <x v="3"/>
    </i>
    <i>
      <x v="4"/>
    </i>
    <i>
      <x v="5"/>
    </i>
    <i t="grand">
      <x/>
    </i>
  </rowItems>
  <colItems count="1">
    <i/>
  </colItems>
  <dataFields count="1">
    <dataField name="Sum of Patients_Refused" fld="8" baseField="0" baseItem="0" numFmtId="1"/>
  </dataFields>
  <formats count="1">
    <format dxfId="2">
      <pivotArea grandRow="1"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D1FC89-FED6-44FF-87BC-5D415F083106}" name="PivotTable7"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2:B29" firstHeaderRow="1" firstDataRow="1" firstDataCol="1"/>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 showAll="0"/>
    <pivotField showAll="0">
      <items count="3">
        <item x="0"/>
        <item x="1"/>
        <item t="default"/>
      </items>
    </pivotField>
    <pivotField axis="axisRow" showAll="0">
      <items count="7">
        <item x="1"/>
        <item x="3"/>
        <item x="4"/>
        <item x="2"/>
        <item x="0"/>
        <item x="5"/>
        <item t="default"/>
      </items>
    </pivotField>
    <pivotField numFmtId="14" showAll="0">
      <items count="538">
        <item x="285"/>
        <item x="476"/>
        <item x="446"/>
        <item x="348"/>
        <item x="207"/>
        <item x="520"/>
        <item x="329"/>
        <item x="158"/>
        <item x="92"/>
        <item x="330"/>
        <item x="44"/>
        <item x="70"/>
        <item x="331"/>
        <item x="456"/>
        <item x="488"/>
        <item x="343"/>
        <item x="291"/>
        <item x="307"/>
        <item x="424"/>
        <item x="274"/>
        <item x="194"/>
        <item x="387"/>
        <item x="288"/>
        <item x="145"/>
        <item x="504"/>
        <item x="71"/>
        <item x="186"/>
        <item x="204"/>
        <item x="511"/>
        <item x="238"/>
        <item x="278"/>
        <item x="300"/>
        <item x="535"/>
        <item x="174"/>
        <item x="122"/>
        <item x="311"/>
        <item x="335"/>
        <item x="210"/>
        <item x="82"/>
        <item x="449"/>
        <item x="323"/>
        <item x="286"/>
        <item x="483"/>
        <item x="218"/>
        <item x="58"/>
        <item x="287"/>
        <item x="101"/>
        <item x="515"/>
        <item x="470"/>
        <item x="360"/>
        <item x="305"/>
        <item x="306"/>
        <item x="309"/>
        <item x="325"/>
        <item x="38"/>
        <item x="353"/>
        <item x="473"/>
        <item x="340"/>
        <item x="21"/>
        <item x="54"/>
        <item x="523"/>
        <item x="47"/>
        <item x="355"/>
        <item x="487"/>
        <item x="499"/>
        <item x="292"/>
        <item x="532"/>
        <item x="301"/>
        <item x="506"/>
        <item x="262"/>
        <item x="211"/>
        <item x="68"/>
        <item x="303"/>
        <item x="455"/>
        <item x="386"/>
        <item x="146"/>
        <item x="230"/>
        <item x="332"/>
        <item x="157"/>
        <item x="435"/>
        <item x="33"/>
        <item x="115"/>
        <item x="290"/>
        <item x="83"/>
        <item x="479"/>
        <item x="492"/>
        <item x="147"/>
        <item x="408"/>
        <item x="357"/>
        <item x="75"/>
        <item x="119"/>
        <item x="399"/>
        <item x="183"/>
        <item x="364"/>
        <item x="237"/>
        <item x="57"/>
        <item x="27"/>
        <item x="118"/>
        <item x="18"/>
        <item x="279"/>
        <item x="454"/>
        <item x="94"/>
        <item x="134"/>
        <item x="519"/>
        <item x="6"/>
        <item x="480"/>
        <item x="200"/>
        <item x="418"/>
        <item x="260"/>
        <item x="266"/>
        <item x="326"/>
        <item x="494"/>
        <item x="308"/>
        <item x="362"/>
        <item x="405"/>
        <item x="123"/>
        <item x="313"/>
        <item x="477"/>
        <item x="8"/>
        <item x="52"/>
        <item x="438"/>
        <item x="384"/>
        <item x="352"/>
        <item x="299"/>
        <item x="259"/>
        <item x="462"/>
        <item x="459"/>
        <item x="496"/>
        <item x="235"/>
        <item x="420"/>
        <item x="263"/>
        <item x="394"/>
        <item x="12"/>
        <item x="373"/>
        <item x="376"/>
        <item x="503"/>
        <item x="525"/>
        <item x="296"/>
        <item x="321"/>
        <item x="112"/>
        <item x="448"/>
        <item x="184"/>
        <item x="302"/>
        <item x="333"/>
        <item x="77"/>
        <item x="425"/>
        <item x="437"/>
        <item x="505"/>
        <item x="34"/>
        <item x="152"/>
        <item x="502"/>
        <item x="193"/>
        <item x="281"/>
        <item x="411"/>
        <item x="432"/>
        <item x="258"/>
        <item x="36"/>
        <item x="406"/>
        <item x="482"/>
        <item x="32"/>
        <item x="426"/>
        <item x="99"/>
        <item x="317"/>
        <item x="457"/>
        <item x="346"/>
        <item x="256"/>
        <item x="131"/>
        <item x="493"/>
        <item x="316"/>
        <item x="293"/>
        <item x="49"/>
        <item x="374"/>
        <item x="243"/>
        <item x="322"/>
        <item x="100"/>
        <item x="190"/>
        <item x="203"/>
        <item x="458"/>
        <item x="220"/>
        <item x="4"/>
        <item x="398"/>
        <item x="231"/>
        <item x="228"/>
        <item x="528"/>
        <item x="233"/>
        <item x="489"/>
        <item x="444"/>
        <item x="409"/>
        <item x="512"/>
        <item x="247"/>
        <item x="97"/>
        <item x="133"/>
        <item x="85"/>
        <item x="168"/>
        <item x="442"/>
        <item x="495"/>
        <item x="388"/>
        <item x="381"/>
        <item x="117"/>
        <item x="140"/>
        <item x="363"/>
        <item x="111"/>
        <item x="55"/>
        <item x="78"/>
        <item x="341"/>
        <item x="412"/>
        <item x="169"/>
        <item x="390"/>
        <item x="417"/>
        <item x="436"/>
        <item x="297"/>
        <item x="225"/>
        <item x="385"/>
        <item x="39"/>
        <item x="41"/>
        <item x="224"/>
        <item x="178"/>
        <item x="440"/>
        <item x="246"/>
        <item x="354"/>
        <item x="530"/>
        <item x="445"/>
        <item x="132"/>
        <item x="182"/>
        <item x="320"/>
        <item x="400"/>
        <item x="3"/>
        <item x="181"/>
        <item x="226"/>
        <item x="377"/>
        <item x="216"/>
        <item x="199"/>
        <item x="298"/>
        <item x="138"/>
        <item x="369"/>
        <item x="16"/>
        <item x="367"/>
        <item x="249"/>
        <item x="22"/>
        <item x="368"/>
        <item x="56"/>
        <item x="468"/>
        <item x="35"/>
        <item x="452"/>
        <item x="261"/>
        <item x="223"/>
        <item x="213"/>
        <item x="239"/>
        <item x="141"/>
        <item x="439"/>
        <item x="202"/>
        <item x="351"/>
        <item x="9"/>
        <item x="116"/>
        <item x="170"/>
        <item x="403"/>
        <item x="155"/>
        <item x="79"/>
        <item x="175"/>
        <item x="365"/>
        <item x="187"/>
        <item x="192"/>
        <item x="251"/>
        <item x="48"/>
        <item x="45"/>
        <item x="196"/>
        <item x="393"/>
        <item x="61"/>
        <item x="422"/>
        <item x="17"/>
        <item x="463"/>
        <item x="53"/>
        <item x="29"/>
        <item x="271"/>
        <item x="334"/>
        <item x="93"/>
        <item x="516"/>
        <item x="275"/>
        <item x="95"/>
        <item x="372"/>
        <item x="197"/>
        <item x="342"/>
        <item x="510"/>
        <item x="382"/>
        <item x="248"/>
        <item x="108"/>
        <item x="447"/>
        <item x="392"/>
        <item x="107"/>
        <item x="222"/>
        <item x="264"/>
        <item x="361"/>
        <item x="268"/>
        <item x="431"/>
        <item x="205"/>
        <item x="336"/>
        <item x="2"/>
        <item x="481"/>
        <item x="433"/>
        <item x="471"/>
        <item x="143"/>
        <item x="378"/>
        <item x="521"/>
        <item x="150"/>
        <item x="153"/>
        <item x="507"/>
        <item x="125"/>
        <item x="450"/>
        <item x="397"/>
        <item x="59"/>
        <item x="314"/>
        <item x="289"/>
        <item x="282"/>
        <item x="60"/>
        <item x="229"/>
        <item x="253"/>
        <item x="270"/>
        <item x="401"/>
        <item x="161"/>
        <item x="366"/>
        <item x="154"/>
        <item x="221"/>
        <item x="474"/>
        <item x="347"/>
        <item x="37"/>
        <item x="241"/>
        <item x="104"/>
        <item x="0"/>
        <item x="129"/>
        <item x="165"/>
        <item x="191"/>
        <item x="319"/>
        <item x="149"/>
        <item x="414"/>
        <item x="350"/>
        <item x="383"/>
        <item x="201"/>
        <item x="345"/>
        <item x="514"/>
        <item x="283"/>
        <item x="423"/>
        <item x="13"/>
        <item x="137"/>
        <item x="106"/>
        <item x="441"/>
        <item x="277"/>
        <item x="142"/>
        <item x="407"/>
        <item x="236"/>
        <item x="254"/>
        <item x="166"/>
        <item x="429"/>
        <item x="114"/>
        <item x="315"/>
        <item x="533"/>
        <item x="338"/>
        <item x="257"/>
        <item x="98"/>
        <item x="144"/>
        <item x="87"/>
        <item x="214"/>
        <item x="14"/>
        <item x="242"/>
        <item x="121"/>
        <item x="227"/>
        <item x="208"/>
        <item x="513"/>
        <item x="245"/>
        <item x="105"/>
        <item x="318"/>
        <item x="195"/>
        <item x="72"/>
        <item x="267"/>
        <item x="500"/>
        <item x="265"/>
        <item x="356"/>
        <item x="23"/>
        <item x="359"/>
        <item x="531"/>
        <item x="486"/>
        <item x="96"/>
        <item x="501"/>
        <item x="113"/>
        <item x="344"/>
        <item x="219"/>
        <item x="250"/>
        <item x="536"/>
        <item x="25"/>
        <item x="475"/>
        <item x="284"/>
        <item x="396"/>
        <item x="172"/>
        <item x="135"/>
        <item x="10"/>
        <item x="198"/>
        <item x="159"/>
        <item x="91"/>
        <item x="466"/>
        <item x="295"/>
        <item x="416"/>
        <item x="31"/>
        <item x="280"/>
        <item x="43"/>
        <item x="518"/>
        <item x="66"/>
        <item x="110"/>
        <item x="370"/>
        <item x="527"/>
        <item x="498"/>
        <item x="30"/>
        <item x="430"/>
        <item x="217"/>
        <item x="69"/>
        <item x="156"/>
        <item x="180"/>
        <item x="51"/>
        <item x="90"/>
        <item x="28"/>
        <item x="461"/>
        <item x="273"/>
        <item x="232"/>
        <item x="469"/>
        <item x="484"/>
        <item x="428"/>
        <item x="19"/>
        <item x="389"/>
        <item x="1"/>
        <item x="63"/>
        <item x="375"/>
        <item x="24"/>
        <item x="179"/>
        <item x="491"/>
        <item x="529"/>
        <item x="421"/>
        <item x="310"/>
        <item x="255"/>
        <item x="81"/>
        <item x="89"/>
        <item x="337"/>
        <item x="26"/>
        <item x="526"/>
        <item x="508"/>
        <item x="5"/>
        <item x="294"/>
        <item x="189"/>
        <item x="73"/>
        <item x="410"/>
        <item x="240"/>
        <item x="67"/>
        <item x="415"/>
        <item x="20"/>
        <item x="472"/>
        <item x="467"/>
        <item x="252"/>
        <item x="7"/>
        <item x="349"/>
        <item x="434"/>
        <item x="86"/>
        <item x="478"/>
        <item x="209"/>
        <item x="40"/>
        <item x="103"/>
        <item x="524"/>
        <item x="136"/>
        <item x="269"/>
        <item x="485"/>
        <item x="304"/>
        <item x="427"/>
        <item x="234"/>
        <item x="460"/>
        <item x="151"/>
        <item x="188"/>
        <item x="371"/>
        <item x="517"/>
        <item x="162"/>
        <item x="328"/>
        <item x="11"/>
        <item x="148"/>
        <item x="276"/>
        <item x="130"/>
        <item x="176"/>
        <item x="206"/>
        <item x="324"/>
        <item x="102"/>
        <item x="128"/>
        <item x="88"/>
        <item x="80"/>
        <item x="391"/>
        <item x="443"/>
        <item x="177"/>
        <item x="76"/>
        <item x="451"/>
        <item x="65"/>
        <item x="522"/>
        <item x="509"/>
        <item x="272"/>
        <item x="185"/>
        <item x="109"/>
        <item x="212"/>
        <item x="42"/>
        <item x="50"/>
        <item x="160"/>
        <item x="413"/>
        <item x="215"/>
        <item x="84"/>
        <item x="379"/>
        <item x="327"/>
        <item x="74"/>
        <item x="534"/>
        <item x="380"/>
        <item x="126"/>
        <item x="120"/>
        <item x="404"/>
        <item x="497"/>
        <item x="244"/>
        <item x="464"/>
        <item x="64"/>
        <item x="62"/>
        <item x="465"/>
        <item x="339"/>
        <item x="173"/>
        <item x="453"/>
        <item x="312"/>
        <item x="167"/>
        <item x="15"/>
        <item x="419"/>
        <item x="402"/>
        <item x="164"/>
        <item x="127"/>
        <item x="395"/>
        <item x="124"/>
        <item x="490"/>
        <item x="163"/>
        <item x="139"/>
        <item x="46"/>
        <item x="171"/>
        <item x="358"/>
        <item t="default"/>
      </items>
    </pivotField>
    <pivotField showAll="0"/>
    <pivotField dataField="1" numFmtId="168" showAll="0"/>
    <pivotField numFmtId="1" showAll="0"/>
    <pivotField numFmtId="1" showAll="0"/>
    <pivotField showAll="0">
      <items count="25">
        <item x="20"/>
        <item x="22"/>
        <item x="15"/>
        <item x="18"/>
        <item x="6"/>
        <item x="7"/>
        <item x="17"/>
        <item x="4"/>
        <item x="21"/>
        <item x="3"/>
        <item x="8"/>
        <item x="14"/>
        <item x="2"/>
        <item x="0"/>
        <item x="11"/>
        <item x="12"/>
        <item x="16"/>
        <item x="9"/>
        <item x="1"/>
        <item x="5"/>
        <item x="10"/>
        <item x="19"/>
        <item x="13"/>
        <item x="2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7">
    <i>
      <x/>
    </i>
    <i>
      <x v="1"/>
    </i>
    <i>
      <x v="2"/>
    </i>
    <i>
      <x v="3"/>
    </i>
    <i>
      <x v="4"/>
    </i>
    <i>
      <x v="5"/>
    </i>
    <i t="grand">
      <x/>
    </i>
  </rowItems>
  <colItems count="1">
    <i/>
  </colItems>
  <dataFields count="1">
    <dataField name="Sum of Treatment_Cost" fld="6" baseField="3" baseItem="0" numFmtId="168"/>
  </dataFields>
  <formats count="7">
    <format dxfId="9">
      <pivotArea collapsedLevelsAreSubtotals="1" fieldPosition="0">
        <references count="1">
          <reference field="3" count="1">
            <x v="0"/>
          </reference>
        </references>
      </pivotArea>
    </format>
    <format dxfId="8">
      <pivotArea collapsedLevelsAreSubtotals="1" fieldPosition="0">
        <references count="1">
          <reference field="3" count="1">
            <x v="1"/>
          </reference>
        </references>
      </pivotArea>
    </format>
    <format dxfId="7">
      <pivotArea collapsedLevelsAreSubtotals="1" fieldPosition="0">
        <references count="1">
          <reference field="3" count="1">
            <x v="2"/>
          </reference>
        </references>
      </pivotArea>
    </format>
    <format dxfId="6">
      <pivotArea collapsedLevelsAreSubtotals="1" fieldPosition="0">
        <references count="1">
          <reference field="3" count="1">
            <x v="4"/>
          </reference>
        </references>
      </pivotArea>
    </format>
    <format dxfId="5">
      <pivotArea collapsedLevelsAreSubtotals="1" fieldPosition="0">
        <references count="1">
          <reference field="3" count="1">
            <x v="5"/>
          </reference>
        </references>
      </pivotArea>
    </format>
    <format dxfId="4">
      <pivotArea collapsedLevelsAreSubtotals="1" fieldPosition="0">
        <references count="1">
          <reference field="3" count="1">
            <x v="3"/>
          </reference>
        </references>
      </pivotArea>
    </format>
    <format dxfId="3">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7F26FE-A5DE-4511-96FB-6E306C874C91}" name="PivotTable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7:B20" firstHeaderRow="1" firstDataRow="1" firstDataCol="1"/>
  <pivotFields count="1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 showAll="0"/>
    <pivotField showAll="0">
      <items count="3">
        <item x="0"/>
        <item x="1"/>
        <item t="default"/>
      </items>
    </pivotField>
    <pivotField showAll="0">
      <items count="7">
        <item x="1"/>
        <item x="3"/>
        <item x="4"/>
        <item x="2"/>
        <item x="0"/>
        <item x="5"/>
        <item t="default"/>
      </items>
    </pivotField>
    <pivotField numFmtId="14" showAll="0">
      <items count="538">
        <item x="285"/>
        <item x="476"/>
        <item x="446"/>
        <item x="348"/>
        <item x="207"/>
        <item x="520"/>
        <item x="329"/>
        <item x="158"/>
        <item x="92"/>
        <item x="330"/>
        <item x="44"/>
        <item x="70"/>
        <item x="331"/>
        <item x="456"/>
        <item x="488"/>
        <item x="343"/>
        <item x="291"/>
        <item x="307"/>
        <item x="424"/>
        <item x="274"/>
        <item x="194"/>
        <item x="387"/>
        <item x="288"/>
        <item x="145"/>
        <item x="504"/>
        <item x="71"/>
        <item x="186"/>
        <item x="204"/>
        <item x="511"/>
        <item x="238"/>
        <item x="278"/>
        <item x="300"/>
        <item x="535"/>
        <item x="174"/>
        <item x="122"/>
        <item x="311"/>
        <item x="335"/>
        <item x="210"/>
        <item x="82"/>
        <item x="449"/>
        <item x="323"/>
        <item x="286"/>
        <item x="483"/>
        <item x="218"/>
        <item x="58"/>
        <item x="287"/>
        <item x="101"/>
        <item x="515"/>
        <item x="470"/>
        <item x="360"/>
        <item x="305"/>
        <item x="306"/>
        <item x="309"/>
        <item x="325"/>
        <item x="38"/>
        <item x="353"/>
        <item x="473"/>
        <item x="340"/>
        <item x="21"/>
        <item x="54"/>
        <item x="523"/>
        <item x="47"/>
        <item x="355"/>
        <item x="487"/>
        <item x="499"/>
        <item x="292"/>
        <item x="532"/>
        <item x="301"/>
        <item x="506"/>
        <item x="262"/>
        <item x="211"/>
        <item x="68"/>
        <item x="303"/>
        <item x="455"/>
        <item x="386"/>
        <item x="146"/>
        <item x="230"/>
        <item x="332"/>
        <item x="157"/>
        <item x="435"/>
        <item x="33"/>
        <item x="115"/>
        <item x="290"/>
        <item x="83"/>
        <item x="479"/>
        <item x="492"/>
        <item x="147"/>
        <item x="408"/>
        <item x="357"/>
        <item x="75"/>
        <item x="119"/>
        <item x="399"/>
        <item x="183"/>
        <item x="364"/>
        <item x="237"/>
        <item x="57"/>
        <item x="27"/>
        <item x="118"/>
        <item x="18"/>
        <item x="279"/>
        <item x="454"/>
        <item x="94"/>
        <item x="134"/>
        <item x="519"/>
        <item x="6"/>
        <item x="480"/>
        <item x="200"/>
        <item x="418"/>
        <item x="260"/>
        <item x="266"/>
        <item x="326"/>
        <item x="494"/>
        <item x="308"/>
        <item x="362"/>
        <item x="405"/>
        <item x="123"/>
        <item x="313"/>
        <item x="477"/>
        <item x="8"/>
        <item x="52"/>
        <item x="438"/>
        <item x="384"/>
        <item x="352"/>
        <item x="299"/>
        <item x="259"/>
        <item x="462"/>
        <item x="459"/>
        <item x="496"/>
        <item x="235"/>
        <item x="420"/>
        <item x="263"/>
        <item x="394"/>
        <item x="12"/>
        <item x="373"/>
        <item x="376"/>
        <item x="503"/>
        <item x="525"/>
        <item x="296"/>
        <item x="321"/>
        <item x="112"/>
        <item x="448"/>
        <item x="184"/>
        <item x="302"/>
        <item x="333"/>
        <item x="77"/>
        <item x="425"/>
        <item x="437"/>
        <item x="505"/>
        <item x="34"/>
        <item x="152"/>
        <item x="502"/>
        <item x="193"/>
        <item x="281"/>
        <item x="411"/>
        <item x="432"/>
        <item x="258"/>
        <item x="36"/>
        <item x="406"/>
        <item x="482"/>
        <item x="32"/>
        <item x="426"/>
        <item x="99"/>
        <item x="317"/>
        <item x="457"/>
        <item x="346"/>
        <item x="256"/>
        <item x="131"/>
        <item x="493"/>
        <item x="316"/>
        <item x="293"/>
        <item x="49"/>
        <item x="374"/>
        <item x="243"/>
        <item x="322"/>
        <item x="100"/>
        <item x="190"/>
        <item x="203"/>
        <item x="458"/>
        <item x="220"/>
        <item x="4"/>
        <item x="398"/>
        <item x="231"/>
        <item x="228"/>
        <item x="528"/>
        <item x="233"/>
        <item x="489"/>
        <item x="444"/>
        <item x="409"/>
        <item x="512"/>
        <item x="247"/>
        <item x="97"/>
        <item x="133"/>
        <item x="85"/>
        <item x="168"/>
        <item x="442"/>
        <item x="495"/>
        <item x="388"/>
        <item x="381"/>
        <item x="117"/>
        <item x="140"/>
        <item x="363"/>
        <item x="111"/>
        <item x="55"/>
        <item x="78"/>
        <item x="341"/>
        <item x="412"/>
        <item x="169"/>
        <item x="390"/>
        <item x="417"/>
        <item x="436"/>
        <item x="297"/>
        <item x="225"/>
        <item x="385"/>
        <item x="39"/>
        <item x="41"/>
        <item x="224"/>
        <item x="178"/>
        <item x="440"/>
        <item x="246"/>
        <item x="354"/>
        <item x="530"/>
        <item x="445"/>
        <item x="132"/>
        <item x="182"/>
        <item x="320"/>
        <item x="400"/>
        <item x="3"/>
        <item x="181"/>
        <item x="226"/>
        <item x="377"/>
        <item x="216"/>
        <item x="199"/>
        <item x="298"/>
        <item x="138"/>
        <item x="369"/>
        <item x="16"/>
        <item x="367"/>
        <item x="249"/>
        <item x="22"/>
        <item x="368"/>
        <item x="56"/>
        <item x="468"/>
        <item x="35"/>
        <item x="452"/>
        <item x="261"/>
        <item x="223"/>
        <item x="213"/>
        <item x="239"/>
        <item x="141"/>
        <item x="439"/>
        <item x="202"/>
        <item x="351"/>
        <item x="9"/>
        <item x="116"/>
        <item x="170"/>
        <item x="403"/>
        <item x="155"/>
        <item x="79"/>
        <item x="175"/>
        <item x="365"/>
        <item x="187"/>
        <item x="192"/>
        <item x="251"/>
        <item x="48"/>
        <item x="45"/>
        <item x="196"/>
        <item x="393"/>
        <item x="61"/>
        <item x="422"/>
        <item x="17"/>
        <item x="463"/>
        <item x="53"/>
        <item x="29"/>
        <item x="271"/>
        <item x="334"/>
        <item x="93"/>
        <item x="516"/>
        <item x="275"/>
        <item x="95"/>
        <item x="372"/>
        <item x="197"/>
        <item x="342"/>
        <item x="510"/>
        <item x="382"/>
        <item x="248"/>
        <item x="108"/>
        <item x="447"/>
        <item x="392"/>
        <item x="107"/>
        <item x="222"/>
        <item x="264"/>
        <item x="361"/>
        <item x="268"/>
        <item x="431"/>
        <item x="205"/>
        <item x="336"/>
        <item x="2"/>
        <item x="481"/>
        <item x="433"/>
        <item x="471"/>
        <item x="143"/>
        <item x="378"/>
        <item x="521"/>
        <item x="150"/>
        <item x="153"/>
        <item x="507"/>
        <item x="125"/>
        <item x="450"/>
        <item x="397"/>
        <item x="59"/>
        <item x="314"/>
        <item x="289"/>
        <item x="282"/>
        <item x="60"/>
        <item x="229"/>
        <item x="253"/>
        <item x="270"/>
        <item x="401"/>
        <item x="161"/>
        <item x="366"/>
        <item x="154"/>
        <item x="221"/>
        <item x="474"/>
        <item x="347"/>
        <item x="37"/>
        <item x="241"/>
        <item x="104"/>
        <item x="0"/>
        <item x="129"/>
        <item x="165"/>
        <item x="191"/>
        <item x="319"/>
        <item x="149"/>
        <item x="414"/>
        <item x="350"/>
        <item x="383"/>
        <item x="201"/>
        <item x="345"/>
        <item x="514"/>
        <item x="283"/>
        <item x="423"/>
        <item x="13"/>
        <item x="137"/>
        <item x="106"/>
        <item x="441"/>
        <item x="277"/>
        <item x="142"/>
        <item x="407"/>
        <item x="236"/>
        <item x="254"/>
        <item x="166"/>
        <item x="429"/>
        <item x="114"/>
        <item x="315"/>
        <item x="533"/>
        <item x="338"/>
        <item x="257"/>
        <item x="98"/>
        <item x="144"/>
        <item x="87"/>
        <item x="214"/>
        <item x="14"/>
        <item x="242"/>
        <item x="121"/>
        <item x="227"/>
        <item x="208"/>
        <item x="513"/>
        <item x="245"/>
        <item x="105"/>
        <item x="318"/>
        <item x="195"/>
        <item x="72"/>
        <item x="267"/>
        <item x="500"/>
        <item x="265"/>
        <item x="356"/>
        <item x="23"/>
        <item x="359"/>
        <item x="531"/>
        <item x="486"/>
        <item x="96"/>
        <item x="501"/>
        <item x="113"/>
        <item x="344"/>
        <item x="219"/>
        <item x="250"/>
        <item x="536"/>
        <item x="25"/>
        <item x="475"/>
        <item x="284"/>
        <item x="396"/>
        <item x="172"/>
        <item x="135"/>
        <item x="10"/>
        <item x="198"/>
        <item x="159"/>
        <item x="91"/>
        <item x="466"/>
        <item x="295"/>
        <item x="416"/>
        <item x="31"/>
        <item x="280"/>
        <item x="43"/>
        <item x="518"/>
        <item x="66"/>
        <item x="110"/>
        <item x="370"/>
        <item x="527"/>
        <item x="498"/>
        <item x="30"/>
        <item x="430"/>
        <item x="217"/>
        <item x="69"/>
        <item x="156"/>
        <item x="180"/>
        <item x="51"/>
        <item x="90"/>
        <item x="28"/>
        <item x="461"/>
        <item x="273"/>
        <item x="232"/>
        <item x="469"/>
        <item x="484"/>
        <item x="428"/>
        <item x="19"/>
        <item x="389"/>
        <item x="1"/>
        <item x="63"/>
        <item x="375"/>
        <item x="24"/>
        <item x="179"/>
        <item x="491"/>
        <item x="529"/>
        <item x="421"/>
        <item x="310"/>
        <item x="255"/>
        <item x="81"/>
        <item x="89"/>
        <item x="337"/>
        <item x="26"/>
        <item x="526"/>
        <item x="508"/>
        <item x="5"/>
        <item x="294"/>
        <item x="189"/>
        <item x="73"/>
        <item x="410"/>
        <item x="240"/>
        <item x="67"/>
        <item x="415"/>
        <item x="20"/>
        <item x="472"/>
        <item x="467"/>
        <item x="252"/>
        <item x="7"/>
        <item x="349"/>
        <item x="434"/>
        <item x="86"/>
        <item x="478"/>
        <item x="209"/>
        <item x="40"/>
        <item x="103"/>
        <item x="524"/>
        <item x="136"/>
        <item x="269"/>
        <item x="485"/>
        <item x="304"/>
        <item x="427"/>
        <item x="234"/>
        <item x="460"/>
        <item x="151"/>
        <item x="188"/>
        <item x="371"/>
        <item x="517"/>
        <item x="162"/>
        <item x="328"/>
        <item x="11"/>
        <item x="148"/>
        <item x="276"/>
        <item x="130"/>
        <item x="176"/>
        <item x="206"/>
        <item x="324"/>
        <item x="102"/>
        <item x="128"/>
        <item x="88"/>
        <item x="80"/>
        <item x="391"/>
        <item x="443"/>
        <item x="177"/>
        <item x="76"/>
        <item x="451"/>
        <item x="65"/>
        <item x="522"/>
        <item x="509"/>
        <item x="272"/>
        <item x="185"/>
        <item x="109"/>
        <item x="212"/>
        <item x="42"/>
        <item x="50"/>
        <item x="160"/>
        <item x="413"/>
        <item x="215"/>
        <item x="84"/>
        <item x="379"/>
        <item x="327"/>
        <item x="74"/>
        <item x="534"/>
        <item x="380"/>
        <item x="126"/>
        <item x="120"/>
        <item x="404"/>
        <item x="497"/>
        <item x="244"/>
        <item x="464"/>
        <item x="64"/>
        <item x="62"/>
        <item x="465"/>
        <item x="339"/>
        <item x="173"/>
        <item x="453"/>
        <item x="312"/>
        <item x="167"/>
        <item x="15"/>
        <item x="419"/>
        <item x="402"/>
        <item x="164"/>
        <item x="127"/>
        <item x="395"/>
        <item x="124"/>
        <item x="490"/>
        <item x="163"/>
        <item x="139"/>
        <item x="46"/>
        <item x="171"/>
        <item x="358"/>
        <item t="default"/>
      </items>
    </pivotField>
    <pivotField showAll="0"/>
    <pivotField numFmtId="168" showAll="0"/>
    <pivotField numFmtId="1" showAll="0"/>
    <pivotField numFmtId="1" showAll="0"/>
    <pivotField showAll="0">
      <items count="25">
        <item x="20"/>
        <item x="22"/>
        <item x="15"/>
        <item x="18"/>
        <item x="6"/>
        <item x="7"/>
        <item x="17"/>
        <item x="4"/>
        <item x="21"/>
        <item x="3"/>
        <item x="8"/>
        <item x="14"/>
        <item x="2"/>
        <item x="0"/>
        <item x="11"/>
        <item x="12"/>
        <item x="16"/>
        <item x="9"/>
        <item x="1"/>
        <item x="5"/>
        <item x="10"/>
        <item x="19"/>
        <item x="13"/>
        <item x="2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Count of Patient_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EC7251-A8F9-4960-B79C-A53403C81033}" name="PivotTable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 showAll="0"/>
    <pivotField showAll="0">
      <items count="3">
        <item x="0"/>
        <item x="1"/>
        <item t="default"/>
      </items>
    </pivotField>
    <pivotField showAll="0">
      <items count="7">
        <item x="1"/>
        <item x="3"/>
        <item x="4"/>
        <item x="2"/>
        <item x="0"/>
        <item x="5"/>
        <item t="default"/>
      </items>
    </pivotField>
    <pivotField numFmtId="14" showAll="0">
      <items count="538">
        <item x="285"/>
        <item x="476"/>
        <item x="446"/>
        <item x="348"/>
        <item x="207"/>
        <item x="520"/>
        <item x="329"/>
        <item x="158"/>
        <item x="92"/>
        <item x="330"/>
        <item x="44"/>
        <item x="70"/>
        <item x="331"/>
        <item x="456"/>
        <item x="488"/>
        <item x="343"/>
        <item x="291"/>
        <item x="307"/>
        <item x="424"/>
        <item x="274"/>
        <item x="194"/>
        <item x="387"/>
        <item x="288"/>
        <item x="145"/>
        <item x="504"/>
        <item x="71"/>
        <item x="186"/>
        <item x="204"/>
        <item x="511"/>
        <item x="238"/>
        <item x="278"/>
        <item x="300"/>
        <item x="535"/>
        <item x="174"/>
        <item x="122"/>
        <item x="311"/>
        <item x="335"/>
        <item x="210"/>
        <item x="82"/>
        <item x="449"/>
        <item x="323"/>
        <item x="286"/>
        <item x="483"/>
        <item x="218"/>
        <item x="58"/>
        <item x="287"/>
        <item x="101"/>
        <item x="515"/>
        <item x="470"/>
        <item x="360"/>
        <item x="305"/>
        <item x="306"/>
        <item x="309"/>
        <item x="325"/>
        <item x="38"/>
        <item x="353"/>
        <item x="473"/>
        <item x="340"/>
        <item x="21"/>
        <item x="54"/>
        <item x="523"/>
        <item x="47"/>
        <item x="355"/>
        <item x="487"/>
        <item x="499"/>
        <item x="292"/>
        <item x="532"/>
        <item x="301"/>
        <item x="506"/>
        <item x="262"/>
        <item x="211"/>
        <item x="68"/>
        <item x="303"/>
        <item x="455"/>
        <item x="386"/>
        <item x="146"/>
        <item x="230"/>
        <item x="332"/>
        <item x="157"/>
        <item x="435"/>
        <item x="33"/>
        <item x="115"/>
        <item x="290"/>
        <item x="83"/>
        <item x="479"/>
        <item x="492"/>
        <item x="147"/>
        <item x="408"/>
        <item x="357"/>
        <item x="75"/>
        <item x="119"/>
        <item x="399"/>
        <item x="183"/>
        <item x="364"/>
        <item x="237"/>
        <item x="57"/>
        <item x="27"/>
        <item x="118"/>
        <item x="18"/>
        <item x="279"/>
        <item x="454"/>
        <item x="94"/>
        <item x="134"/>
        <item x="519"/>
        <item x="6"/>
        <item x="480"/>
        <item x="200"/>
        <item x="418"/>
        <item x="260"/>
        <item x="266"/>
        <item x="326"/>
        <item x="494"/>
        <item x="308"/>
        <item x="362"/>
        <item x="405"/>
        <item x="123"/>
        <item x="313"/>
        <item x="477"/>
        <item x="8"/>
        <item x="52"/>
        <item x="438"/>
        <item x="384"/>
        <item x="352"/>
        <item x="299"/>
        <item x="259"/>
        <item x="462"/>
        <item x="459"/>
        <item x="496"/>
        <item x="235"/>
        <item x="420"/>
        <item x="263"/>
        <item x="394"/>
        <item x="12"/>
        <item x="373"/>
        <item x="376"/>
        <item x="503"/>
        <item x="525"/>
        <item x="296"/>
        <item x="321"/>
        <item x="112"/>
        <item x="448"/>
        <item x="184"/>
        <item x="302"/>
        <item x="333"/>
        <item x="77"/>
        <item x="425"/>
        <item x="437"/>
        <item x="505"/>
        <item x="34"/>
        <item x="152"/>
        <item x="502"/>
        <item x="193"/>
        <item x="281"/>
        <item x="411"/>
        <item x="432"/>
        <item x="258"/>
        <item x="36"/>
        <item x="406"/>
        <item x="482"/>
        <item x="32"/>
        <item x="426"/>
        <item x="99"/>
        <item x="317"/>
        <item x="457"/>
        <item x="346"/>
        <item x="256"/>
        <item x="131"/>
        <item x="493"/>
        <item x="316"/>
        <item x="293"/>
        <item x="49"/>
        <item x="374"/>
        <item x="243"/>
        <item x="322"/>
        <item x="100"/>
        <item x="190"/>
        <item x="203"/>
        <item x="458"/>
        <item x="220"/>
        <item x="4"/>
        <item x="398"/>
        <item x="231"/>
        <item x="228"/>
        <item x="528"/>
        <item x="233"/>
        <item x="489"/>
        <item x="444"/>
        <item x="409"/>
        <item x="512"/>
        <item x="247"/>
        <item x="97"/>
        <item x="133"/>
        <item x="85"/>
        <item x="168"/>
        <item x="442"/>
        <item x="495"/>
        <item x="388"/>
        <item x="381"/>
        <item x="117"/>
        <item x="140"/>
        <item x="363"/>
        <item x="111"/>
        <item x="55"/>
        <item x="78"/>
        <item x="341"/>
        <item x="412"/>
        <item x="169"/>
        <item x="390"/>
        <item x="417"/>
        <item x="436"/>
        <item x="297"/>
        <item x="225"/>
        <item x="385"/>
        <item x="39"/>
        <item x="41"/>
        <item x="224"/>
        <item x="178"/>
        <item x="440"/>
        <item x="246"/>
        <item x="354"/>
        <item x="530"/>
        <item x="445"/>
        <item x="132"/>
        <item x="182"/>
        <item x="320"/>
        <item x="400"/>
        <item x="3"/>
        <item x="181"/>
        <item x="226"/>
        <item x="377"/>
        <item x="216"/>
        <item x="199"/>
        <item x="298"/>
        <item x="138"/>
        <item x="369"/>
        <item x="16"/>
        <item x="367"/>
        <item x="249"/>
        <item x="22"/>
        <item x="368"/>
        <item x="56"/>
        <item x="468"/>
        <item x="35"/>
        <item x="452"/>
        <item x="261"/>
        <item x="223"/>
        <item x="213"/>
        <item x="239"/>
        <item x="141"/>
        <item x="439"/>
        <item x="202"/>
        <item x="351"/>
        <item x="9"/>
        <item x="116"/>
        <item x="170"/>
        <item x="403"/>
        <item x="155"/>
        <item x="79"/>
        <item x="175"/>
        <item x="365"/>
        <item x="187"/>
        <item x="192"/>
        <item x="251"/>
        <item x="48"/>
        <item x="45"/>
        <item x="196"/>
        <item x="393"/>
        <item x="61"/>
        <item x="422"/>
        <item x="17"/>
        <item x="463"/>
        <item x="53"/>
        <item x="29"/>
        <item x="271"/>
        <item x="334"/>
        <item x="93"/>
        <item x="516"/>
        <item x="275"/>
        <item x="95"/>
        <item x="372"/>
        <item x="197"/>
        <item x="342"/>
        <item x="510"/>
        <item x="382"/>
        <item x="248"/>
        <item x="108"/>
        <item x="447"/>
        <item x="392"/>
        <item x="107"/>
        <item x="222"/>
        <item x="264"/>
        <item x="361"/>
        <item x="268"/>
        <item x="431"/>
        <item x="205"/>
        <item x="336"/>
        <item x="2"/>
        <item x="481"/>
        <item x="433"/>
        <item x="471"/>
        <item x="143"/>
        <item x="378"/>
        <item x="521"/>
        <item x="150"/>
        <item x="153"/>
        <item x="507"/>
        <item x="125"/>
        <item x="450"/>
        <item x="397"/>
        <item x="59"/>
        <item x="314"/>
        <item x="289"/>
        <item x="282"/>
        <item x="60"/>
        <item x="229"/>
        <item x="253"/>
        <item x="270"/>
        <item x="401"/>
        <item x="161"/>
        <item x="366"/>
        <item x="154"/>
        <item x="221"/>
        <item x="474"/>
        <item x="347"/>
        <item x="37"/>
        <item x="241"/>
        <item x="104"/>
        <item x="0"/>
        <item x="129"/>
        <item x="165"/>
        <item x="191"/>
        <item x="319"/>
        <item x="149"/>
        <item x="414"/>
        <item x="350"/>
        <item x="383"/>
        <item x="201"/>
        <item x="345"/>
        <item x="514"/>
        <item x="283"/>
        <item x="423"/>
        <item x="13"/>
        <item x="137"/>
        <item x="106"/>
        <item x="441"/>
        <item x="277"/>
        <item x="142"/>
        <item x="407"/>
        <item x="236"/>
        <item x="254"/>
        <item x="166"/>
        <item x="429"/>
        <item x="114"/>
        <item x="315"/>
        <item x="533"/>
        <item x="338"/>
        <item x="257"/>
        <item x="98"/>
        <item x="144"/>
        <item x="87"/>
        <item x="214"/>
        <item x="14"/>
        <item x="242"/>
        <item x="121"/>
        <item x="227"/>
        <item x="208"/>
        <item x="513"/>
        <item x="245"/>
        <item x="105"/>
        <item x="318"/>
        <item x="195"/>
        <item x="72"/>
        <item x="267"/>
        <item x="500"/>
        <item x="265"/>
        <item x="356"/>
        <item x="23"/>
        <item x="359"/>
        <item x="531"/>
        <item x="486"/>
        <item x="96"/>
        <item x="501"/>
        <item x="113"/>
        <item x="344"/>
        <item x="219"/>
        <item x="250"/>
        <item x="536"/>
        <item x="25"/>
        <item x="475"/>
        <item x="284"/>
        <item x="396"/>
        <item x="172"/>
        <item x="135"/>
        <item x="10"/>
        <item x="198"/>
        <item x="159"/>
        <item x="91"/>
        <item x="466"/>
        <item x="295"/>
        <item x="416"/>
        <item x="31"/>
        <item x="280"/>
        <item x="43"/>
        <item x="518"/>
        <item x="66"/>
        <item x="110"/>
        <item x="370"/>
        <item x="527"/>
        <item x="498"/>
        <item x="30"/>
        <item x="430"/>
        <item x="217"/>
        <item x="69"/>
        <item x="156"/>
        <item x="180"/>
        <item x="51"/>
        <item x="90"/>
        <item x="28"/>
        <item x="461"/>
        <item x="273"/>
        <item x="232"/>
        <item x="469"/>
        <item x="484"/>
        <item x="428"/>
        <item x="19"/>
        <item x="389"/>
        <item x="1"/>
        <item x="63"/>
        <item x="375"/>
        <item x="24"/>
        <item x="179"/>
        <item x="491"/>
        <item x="529"/>
        <item x="421"/>
        <item x="310"/>
        <item x="255"/>
        <item x="81"/>
        <item x="89"/>
        <item x="337"/>
        <item x="26"/>
        <item x="526"/>
        <item x="508"/>
        <item x="5"/>
        <item x="294"/>
        <item x="189"/>
        <item x="73"/>
        <item x="410"/>
        <item x="240"/>
        <item x="67"/>
        <item x="415"/>
        <item x="20"/>
        <item x="472"/>
        <item x="467"/>
        <item x="252"/>
        <item x="7"/>
        <item x="349"/>
        <item x="434"/>
        <item x="86"/>
        <item x="478"/>
        <item x="209"/>
        <item x="40"/>
        <item x="103"/>
        <item x="524"/>
        <item x="136"/>
        <item x="269"/>
        <item x="485"/>
        <item x="304"/>
        <item x="427"/>
        <item x="234"/>
        <item x="460"/>
        <item x="151"/>
        <item x="188"/>
        <item x="371"/>
        <item x="517"/>
        <item x="162"/>
        <item x="328"/>
        <item x="11"/>
        <item x="148"/>
        <item x="276"/>
        <item x="130"/>
        <item x="176"/>
        <item x="206"/>
        <item x="324"/>
        <item x="102"/>
        <item x="128"/>
        <item x="88"/>
        <item x="80"/>
        <item x="391"/>
        <item x="443"/>
        <item x="177"/>
        <item x="76"/>
        <item x="451"/>
        <item x="65"/>
        <item x="522"/>
        <item x="509"/>
        <item x="272"/>
        <item x="185"/>
        <item x="109"/>
        <item x="212"/>
        <item x="42"/>
        <item x="50"/>
        <item x="160"/>
        <item x="413"/>
        <item x="215"/>
        <item x="84"/>
        <item x="379"/>
        <item x="327"/>
        <item x="74"/>
        <item x="534"/>
        <item x="380"/>
        <item x="126"/>
        <item x="120"/>
        <item x="404"/>
        <item x="497"/>
        <item x="244"/>
        <item x="464"/>
        <item x="64"/>
        <item x="62"/>
        <item x="465"/>
        <item x="339"/>
        <item x="173"/>
        <item x="453"/>
        <item x="312"/>
        <item x="167"/>
        <item x="15"/>
        <item x="419"/>
        <item x="402"/>
        <item x="164"/>
        <item x="127"/>
        <item x="395"/>
        <item x="124"/>
        <item x="490"/>
        <item x="163"/>
        <item x="139"/>
        <item x="46"/>
        <item x="171"/>
        <item x="358"/>
        <item t="default"/>
      </items>
    </pivotField>
    <pivotField showAll="0"/>
    <pivotField dataField="1" numFmtId="168" showAll="0"/>
    <pivotField dataField="1" numFmtId="1" showAll="0"/>
    <pivotField dataField="1" numFmtId="1" showAll="0"/>
    <pivotField showAll="0">
      <items count="25">
        <item x="20"/>
        <item x="22"/>
        <item x="15"/>
        <item x="18"/>
        <item x="6"/>
        <item x="7"/>
        <item x="17"/>
        <item x="4"/>
        <item x="21"/>
        <item x="3"/>
        <item x="8"/>
        <item x="14"/>
        <item x="2"/>
        <item x="0"/>
        <item x="11"/>
        <item x="12"/>
        <item x="16"/>
        <item x="9"/>
        <item x="1"/>
        <item x="5"/>
        <item x="10"/>
        <item x="19"/>
        <item x="13"/>
        <item x="2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4">
    <i>
      <x/>
    </i>
    <i i="1">
      <x v="1"/>
    </i>
    <i i="2">
      <x v="2"/>
    </i>
    <i i="3">
      <x v="3"/>
    </i>
  </colItems>
  <dataFields count="4">
    <dataField name="Count of Patient_ID" fld="0" subtotal="count" baseField="0" baseItem="0"/>
    <dataField name="Average of Treatment_Cost" fld="6" subtotal="average" baseField="0" baseItem="0" numFmtId="168"/>
    <dataField name="Average of Patient_Satisfaction" fld="7" subtotal="average" baseField="0" baseItem="0" numFmtId="1"/>
    <dataField name="Sum of Patients_Refused"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4FE1FF7-E989-4E07-851C-F1638CDCE6B7}" sourceName="Gender">
  <pivotTables>
    <pivotTable tabId="4" name="PivotTable13"/>
    <pivotTable tabId="4" name="PivotTable5"/>
    <pivotTable tabId="4" name="PivotTable6"/>
    <pivotTable tabId="4" name="PivotTable7"/>
    <pivotTable tabId="4" name="PivotTable8"/>
  </pivotTables>
  <data>
    <tabular pivotCacheId="196072224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EFE6077-ADAF-4BD4-AA11-1571D2EDE086}" sourceName="Department">
  <pivotTables>
    <pivotTable tabId="4" name="PivotTable7"/>
    <pivotTable tabId="4" name="PivotTable13"/>
    <pivotTable tabId="4" name="PivotTable14"/>
    <pivotTable tabId="4" name="PivotTable5"/>
    <pivotTable tabId="4" name="PivotTable6"/>
    <pivotTable tabId="4" name="PivotTable8"/>
  </pivotTables>
  <data>
    <tabular pivotCacheId="1960722247">
      <items count="6">
        <i x="1" s="1"/>
        <i x="3" s="1"/>
        <i x="4" s="1"/>
        <i x="2"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Year" xr10:uid="{279089E5-28E1-4804-9F36-B41ADB311334}" sourceName="Month_Year">
  <pivotTables>
    <pivotTable tabId="4" name="PivotTable6"/>
    <pivotTable tabId="4" name="PivotTable13"/>
    <pivotTable tabId="4" name="PivotTable14"/>
    <pivotTable tabId="4" name="PivotTable5"/>
    <pivotTable tabId="4" name="PivotTable7"/>
    <pivotTable tabId="4" name="PivotTable8"/>
  </pivotTables>
  <data>
    <tabular pivotCacheId="1960722247">
      <items count="24">
        <i x="20" s="1"/>
        <i x="22" s="1"/>
        <i x="15" s="1"/>
        <i x="18" s="1"/>
        <i x="6" s="1"/>
        <i x="7" s="1"/>
        <i x="17" s="1"/>
        <i x="4" s="1"/>
        <i x="21" s="1"/>
        <i x="3" s="1"/>
        <i x="8" s="1"/>
        <i x="14" s="1"/>
        <i x="2" s="1"/>
        <i x="0" s="1"/>
        <i x="11" s="1"/>
        <i x="12" s="1"/>
        <i x="16" s="1"/>
        <i x="9" s="1"/>
        <i x="1" s="1"/>
        <i x="5" s="1"/>
        <i x="10" s="1"/>
        <i x="19" s="1"/>
        <i x="13" s="1"/>
        <i x="2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58F3252-2629-43A7-8289-7E9627C085F3}" cache="Slicer_Gender" caption="Gender" rowHeight="234950"/>
  <slicer name="Department" xr10:uid="{7C50EF4C-220F-4C96-A9B3-15D62BA950EE}" cache="Slicer_Department" caption="Department" rowHeight="234950"/>
  <slicer name="Month_Year" xr10:uid="{E1ACFF59-5F6F-49E9-A2A3-F45850888BC0}" cache="Slicer_Month_Year" caption="Month_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D51367-15A8-4E75-8757-7380AFDD6E3B}" name="HealthCare" displayName="HealthCare" ref="A1:J1001" totalsRowShown="0" headerRowDxfId="19">
  <autoFilter ref="A1:J1001" xr:uid="{1FD51367-15A8-4E75-8757-7380AFDD6E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E29E74F-F3B3-4572-BA02-7C73DBFDCA4C}" name="Patient_ID"/>
    <tableColumn id="2" xr3:uid="{20FBB983-757B-4AC4-B6BC-058838190770}" name="Age" dataDxfId="18"/>
    <tableColumn id="3" xr3:uid="{2DD4788C-C9E0-4D4A-A989-2269A20E243C}" name="Gender" dataDxfId="17"/>
    <tableColumn id="4" xr3:uid="{C8CEA1B5-5774-43F5-9BBA-67FE43307645}" name="Department" dataDxfId="16"/>
    <tableColumn id="5" xr3:uid="{A455576F-97D1-4E01-9961-9D1AC29EEEA3}" name="Visit_Date" dataDxfId="15"/>
    <tableColumn id="6" xr3:uid="{23AD9B93-69A4-40EB-811A-42C37640A260}" name="Diagnosis" dataDxfId="14"/>
    <tableColumn id="7" xr3:uid="{8CEF749B-3C6F-4043-92BD-63ECD6DA6C64}" name="Treatment_Cost" dataDxfId="13"/>
    <tableColumn id="8" xr3:uid="{7A340656-D17C-4680-A4F9-1C3A95856716}" name="Patient_Satisfaction" dataDxfId="12"/>
    <tableColumn id="9" xr3:uid="{14F08CA5-91D5-49E2-95E1-28903B65E8CC}" name="Patients_Refused" dataDxfId="11"/>
    <tableColumn id="10" xr3:uid="{ADF1FE54-B6B8-4EC5-88DC-642502CB0D9A}" name="Month_Year" dataDxfId="10"/>
  </tableColumns>
  <tableStyleInfo name="TableStyleMedium17" showFirstColumn="0" showLastColumn="0" showRowStripes="1" showColumnStripes="0"/>
</table>
</file>

<file path=xl/theme/theme1.xml><?xml version="1.0" encoding="utf-8"?>
<a:theme xmlns:a="http://schemas.openxmlformats.org/drawingml/2006/main" name="Vapor Trail">
  <a:themeElements>
    <a:clrScheme name="Vapor Trail">
      <a:dk1>
        <a:sysClr val="windowText" lastClr="000000"/>
      </a:dk1>
      <a:lt1>
        <a:sysClr val="window" lastClr="FFFFFF"/>
      </a:lt1>
      <a:dk2>
        <a:srgbClr val="454545"/>
      </a:dk2>
      <a:lt2>
        <a:srgbClr val="DADADA"/>
      </a:lt2>
      <a:accent1>
        <a:srgbClr val="DF2E28"/>
      </a:accent1>
      <a:accent2>
        <a:srgbClr val="FE801A"/>
      </a:accent2>
      <a:accent3>
        <a:srgbClr val="E9BF35"/>
      </a:accent3>
      <a:accent4>
        <a:srgbClr val="81BB42"/>
      </a:accent4>
      <a:accent5>
        <a:srgbClr val="32C7A9"/>
      </a:accent5>
      <a:accent6>
        <a:srgbClr val="4A9BDC"/>
      </a:accent6>
      <a:hlink>
        <a:srgbClr val="F0532B"/>
      </a:hlink>
      <a:folHlink>
        <a:srgbClr val="F38B53"/>
      </a:folHlink>
    </a:clrScheme>
    <a:fontScheme name="Vapor Trail">
      <a:majorFont>
        <a:latin typeface="Century Gothic" panose="020B0502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Vapor Trail">
      <a:fillStyleLst>
        <a:solidFill>
          <a:schemeClr val="phClr"/>
        </a:solidFill>
        <a:gradFill rotWithShape="1">
          <a:gsLst>
            <a:gs pos="0">
              <a:schemeClr val="phClr">
                <a:tint val="69000"/>
                <a:alpha val="100000"/>
                <a:satMod val="109000"/>
                <a:lumMod val="110000"/>
              </a:schemeClr>
            </a:gs>
            <a:gs pos="52000">
              <a:schemeClr val="phClr">
                <a:tint val="74000"/>
                <a:satMod val="100000"/>
                <a:lumMod val="104000"/>
              </a:schemeClr>
            </a:gs>
            <a:gs pos="100000">
              <a:schemeClr val="phClr">
                <a:tint val="78000"/>
                <a:satMod val="100000"/>
                <a:lumMod val="100000"/>
              </a:schemeClr>
            </a:gs>
          </a:gsLst>
          <a:lin ang="5400000" scaled="0"/>
        </a:gradFill>
        <a:gradFill rotWithShape="1">
          <a:gsLst>
            <a:gs pos="0">
              <a:schemeClr val="phClr">
                <a:tint val="96000"/>
                <a:satMod val="100000"/>
                <a:lumMod val="104000"/>
              </a:schemeClr>
            </a:gs>
            <a:gs pos="78000">
              <a:schemeClr val="phClr">
                <a:shade val="100000"/>
                <a:satMod val="11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cene3d>
            <a:camera prst="orthographicFront">
              <a:rot lat="0" lon="0" rev="0"/>
            </a:camera>
            <a:lightRig rig="threePt" dir="t"/>
          </a:scene3d>
          <a:sp3d>
            <a:bevelT w="25400" h="12700"/>
          </a:sp3d>
        </a:effectStyle>
        <a:effectStyle>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Vapor Trail" id="{4FDF2955-7D9C-493C-B9F9-C205151B46CD}" vid="{8F31A783-2159-4870-BC29-2BA7D038EA44}"/>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workbookViewId="0">
      <selection activeCell="L10" sqref="L10"/>
    </sheetView>
  </sheetViews>
  <sheetFormatPr defaultRowHeight="14.4" x14ac:dyDescent="0.25"/>
  <cols>
    <col min="1" max="1" width="12.59765625" customWidth="1"/>
    <col min="2" max="2" width="6.296875" style="8" customWidth="1"/>
    <col min="3" max="3" width="9.69921875" style="9" customWidth="1"/>
    <col min="4" max="4" width="14.296875" style="9" customWidth="1"/>
    <col min="5" max="5" width="16.8984375" style="1" customWidth="1"/>
    <col min="6" max="6" width="11.796875" style="9" customWidth="1"/>
    <col min="7" max="7" width="17.59765625" style="11" customWidth="1"/>
    <col min="8" max="8" width="21.3984375" style="8" customWidth="1"/>
    <col min="9" max="9" width="18.8984375" style="8" customWidth="1"/>
    <col min="10" max="10" width="13.8984375" style="1" customWidth="1"/>
  </cols>
  <sheetData>
    <row r="1" spans="1:10" ht="13.8" x14ac:dyDescent="0.25">
      <c r="A1" s="6" t="s">
        <v>0</v>
      </c>
      <c r="B1" s="7" t="s">
        <v>1</v>
      </c>
      <c r="C1" s="6" t="s">
        <v>2</v>
      </c>
      <c r="D1" s="6" t="s">
        <v>3</v>
      </c>
      <c r="E1" s="2" t="s">
        <v>4</v>
      </c>
      <c r="F1" s="6" t="s">
        <v>5</v>
      </c>
      <c r="G1" s="10" t="s">
        <v>6</v>
      </c>
      <c r="H1" s="7" t="s">
        <v>7</v>
      </c>
      <c r="I1" s="7" t="s">
        <v>8</v>
      </c>
      <c r="J1" s="2" t="s">
        <v>9</v>
      </c>
    </row>
    <row r="2" spans="1:10" ht="13.8" x14ac:dyDescent="0.25">
      <c r="A2" t="s">
        <v>10</v>
      </c>
      <c r="B2" s="8">
        <v>11</v>
      </c>
      <c r="C2" s="9" t="s">
        <v>11</v>
      </c>
      <c r="D2" s="9" t="s">
        <v>12</v>
      </c>
      <c r="E2" s="1">
        <v>45349</v>
      </c>
      <c r="F2" s="9" t="s">
        <v>13</v>
      </c>
      <c r="G2" s="11">
        <v>25256</v>
      </c>
      <c r="H2" s="8">
        <v>51</v>
      </c>
      <c r="I2" s="8">
        <v>5</v>
      </c>
      <c r="J2" s="1" t="s">
        <v>14</v>
      </c>
    </row>
    <row r="3" spans="1:10" ht="13.8" x14ac:dyDescent="0.25">
      <c r="A3" t="s">
        <v>15</v>
      </c>
      <c r="B3" s="8">
        <v>79</v>
      </c>
      <c r="C3" s="9" t="s">
        <v>16</v>
      </c>
      <c r="D3" s="9" t="s">
        <v>17</v>
      </c>
      <c r="E3" s="1">
        <v>45485</v>
      </c>
      <c r="F3" s="9" t="s">
        <v>18</v>
      </c>
      <c r="G3" s="11">
        <v>5622</v>
      </c>
      <c r="H3" s="8">
        <v>70</v>
      </c>
      <c r="I3" s="8">
        <v>1</v>
      </c>
      <c r="J3" s="1" t="s">
        <v>19</v>
      </c>
    </row>
    <row r="4" spans="1:10" ht="13.8" x14ac:dyDescent="0.25">
      <c r="A4" t="s">
        <v>20</v>
      </c>
      <c r="B4" s="8">
        <v>35</v>
      </c>
      <c r="C4" s="9" t="s">
        <v>16</v>
      </c>
      <c r="D4" s="9" t="s">
        <v>21</v>
      </c>
      <c r="E4" s="1">
        <v>45313</v>
      </c>
      <c r="F4" s="9" t="s">
        <v>22</v>
      </c>
      <c r="G4" s="11">
        <v>33833</v>
      </c>
      <c r="H4" s="8">
        <v>65</v>
      </c>
      <c r="I4" s="8">
        <v>1</v>
      </c>
      <c r="J4" s="1" t="s">
        <v>23</v>
      </c>
    </row>
    <row r="5" spans="1:10" ht="13.8" x14ac:dyDescent="0.25">
      <c r="A5" t="s">
        <v>24</v>
      </c>
      <c r="B5" s="8">
        <v>14</v>
      </c>
      <c r="C5" s="9" t="s">
        <v>16</v>
      </c>
      <c r="D5" s="9" t="s">
        <v>25</v>
      </c>
      <c r="E5" s="1">
        <v>45223</v>
      </c>
      <c r="F5" s="9" t="s">
        <v>26</v>
      </c>
      <c r="G5" s="11">
        <v>49160</v>
      </c>
      <c r="H5" s="8">
        <v>96</v>
      </c>
      <c r="I5" s="8">
        <v>0</v>
      </c>
      <c r="J5" s="1" t="s">
        <v>27</v>
      </c>
    </row>
    <row r="6" spans="1:10" ht="13.8" x14ac:dyDescent="0.25">
      <c r="A6" t="s">
        <v>28</v>
      </c>
      <c r="B6" s="8">
        <v>67</v>
      </c>
      <c r="C6" s="9" t="s">
        <v>16</v>
      </c>
      <c r="D6" s="9" t="s">
        <v>12</v>
      </c>
      <c r="E6" s="1">
        <v>45159</v>
      </c>
      <c r="F6" s="9" t="s">
        <v>29</v>
      </c>
      <c r="G6" s="11">
        <v>38769</v>
      </c>
      <c r="H6" s="8">
        <v>89</v>
      </c>
      <c r="I6" s="8">
        <v>2</v>
      </c>
      <c r="J6" s="1" t="s">
        <v>30</v>
      </c>
    </row>
    <row r="7" spans="1:10" ht="13.8" x14ac:dyDescent="0.25">
      <c r="A7" t="s">
        <v>31</v>
      </c>
      <c r="B7" s="8">
        <v>14</v>
      </c>
      <c r="C7" s="9" t="s">
        <v>16</v>
      </c>
      <c r="D7" s="9" t="s">
        <v>17</v>
      </c>
      <c r="E7" s="1">
        <v>45223</v>
      </c>
      <c r="F7" s="9" t="s">
        <v>13</v>
      </c>
      <c r="G7" s="11">
        <v>9538</v>
      </c>
      <c r="H7" s="8">
        <v>56</v>
      </c>
      <c r="I7" s="8">
        <v>3</v>
      </c>
      <c r="J7" s="1" t="s">
        <v>27</v>
      </c>
    </row>
    <row r="8" spans="1:10" ht="13.8" x14ac:dyDescent="0.25">
      <c r="A8" t="s">
        <v>32</v>
      </c>
      <c r="B8" s="8">
        <v>24</v>
      </c>
      <c r="C8" s="9" t="s">
        <v>16</v>
      </c>
      <c r="D8" s="9" t="s">
        <v>21</v>
      </c>
      <c r="E8" s="1">
        <v>45506</v>
      </c>
      <c r="F8" s="9" t="s">
        <v>13</v>
      </c>
      <c r="G8" s="11">
        <v>29462</v>
      </c>
      <c r="H8" s="8">
        <v>90</v>
      </c>
      <c r="I8" s="8">
        <v>1</v>
      </c>
      <c r="J8" s="1" t="s">
        <v>33</v>
      </c>
    </row>
    <row r="9" spans="1:10" ht="13.8" x14ac:dyDescent="0.25">
      <c r="A9" t="s">
        <v>34</v>
      </c>
      <c r="B9" s="8">
        <v>33</v>
      </c>
      <c r="C9" s="9" t="s">
        <v>16</v>
      </c>
      <c r="D9" s="9" t="s">
        <v>12</v>
      </c>
      <c r="E9" s="1">
        <v>45064</v>
      </c>
      <c r="F9" s="9" t="s">
        <v>26</v>
      </c>
      <c r="G9" s="11">
        <v>11169</v>
      </c>
      <c r="H9" s="8">
        <v>93</v>
      </c>
      <c r="I9" s="8">
        <v>5</v>
      </c>
      <c r="J9" s="1" t="s">
        <v>35</v>
      </c>
    </row>
    <row r="10" spans="1:10" ht="13.8" x14ac:dyDescent="0.25">
      <c r="A10" t="s">
        <v>36</v>
      </c>
      <c r="B10" s="8">
        <v>25</v>
      </c>
      <c r="C10" s="9" t="s">
        <v>16</v>
      </c>
      <c r="D10" s="9" t="s">
        <v>17</v>
      </c>
      <c r="E10" s="1">
        <v>45524</v>
      </c>
      <c r="F10" s="9" t="s">
        <v>29</v>
      </c>
      <c r="G10" s="11">
        <v>22683</v>
      </c>
      <c r="H10" s="8">
        <v>61</v>
      </c>
      <c r="I10" s="8">
        <v>5</v>
      </c>
      <c r="J10" s="1" t="s">
        <v>33</v>
      </c>
    </row>
    <row r="11" spans="1:10" ht="13.8" x14ac:dyDescent="0.25">
      <c r="A11" t="s">
        <v>37</v>
      </c>
      <c r="B11" s="8">
        <v>84</v>
      </c>
      <c r="C11" s="9" t="s">
        <v>16</v>
      </c>
      <c r="D11" s="9" t="s">
        <v>12</v>
      </c>
      <c r="E11" s="1">
        <v>45084</v>
      </c>
      <c r="F11" s="9" t="s">
        <v>22</v>
      </c>
      <c r="G11" s="11">
        <v>41591</v>
      </c>
      <c r="H11" s="8">
        <v>76</v>
      </c>
      <c r="I11" s="8">
        <v>1</v>
      </c>
      <c r="J11" s="1" t="s">
        <v>38</v>
      </c>
    </row>
    <row r="12" spans="1:10" ht="13.8" x14ac:dyDescent="0.25">
      <c r="A12" t="s">
        <v>39</v>
      </c>
      <c r="B12" s="8">
        <v>73</v>
      </c>
      <c r="C12" s="9" t="s">
        <v>11</v>
      </c>
      <c r="D12" s="9" t="s">
        <v>12</v>
      </c>
      <c r="E12" s="1">
        <v>45253</v>
      </c>
      <c r="F12" s="9" t="s">
        <v>13</v>
      </c>
      <c r="G12" s="11">
        <v>37325</v>
      </c>
      <c r="H12" s="8">
        <v>98</v>
      </c>
      <c r="I12" s="8">
        <v>3</v>
      </c>
      <c r="J12" s="1" t="s">
        <v>40</v>
      </c>
    </row>
    <row r="13" spans="1:10" ht="13.8" x14ac:dyDescent="0.25">
      <c r="A13" t="s">
        <v>41</v>
      </c>
      <c r="B13" s="8">
        <v>14</v>
      </c>
      <c r="C13" s="9" t="s">
        <v>11</v>
      </c>
      <c r="D13" s="9" t="s">
        <v>25</v>
      </c>
      <c r="E13" s="1">
        <v>45446</v>
      </c>
      <c r="F13" s="9" t="s">
        <v>18</v>
      </c>
      <c r="G13" s="11">
        <v>40322</v>
      </c>
      <c r="H13" s="8">
        <v>48</v>
      </c>
      <c r="I13" s="8">
        <v>0</v>
      </c>
      <c r="J13" s="1" t="s">
        <v>42</v>
      </c>
    </row>
    <row r="14" spans="1:10" ht="13.8" x14ac:dyDescent="0.25">
      <c r="A14" t="s">
        <v>43</v>
      </c>
      <c r="B14" s="8">
        <v>62</v>
      </c>
      <c r="C14" s="9" t="s">
        <v>11</v>
      </c>
      <c r="D14" s="9" t="s">
        <v>25</v>
      </c>
      <c r="E14" s="1">
        <v>45253</v>
      </c>
      <c r="F14" s="9" t="s">
        <v>26</v>
      </c>
      <c r="G14" s="11">
        <v>1585</v>
      </c>
      <c r="H14" s="8">
        <v>44</v>
      </c>
      <c r="I14" s="8">
        <v>1</v>
      </c>
      <c r="J14" s="1" t="s">
        <v>40</v>
      </c>
    </row>
    <row r="15" spans="1:10" ht="13.8" x14ac:dyDescent="0.25">
      <c r="A15" t="s">
        <v>44</v>
      </c>
      <c r="B15" s="8">
        <v>83</v>
      </c>
      <c r="C15" s="9" t="s">
        <v>11</v>
      </c>
      <c r="D15" s="9" t="s">
        <v>12</v>
      </c>
      <c r="E15" s="1">
        <v>45547</v>
      </c>
      <c r="F15" s="9" t="s">
        <v>26</v>
      </c>
      <c r="G15" s="11">
        <v>32794</v>
      </c>
      <c r="H15" s="8">
        <v>74</v>
      </c>
      <c r="I15" s="8">
        <v>0</v>
      </c>
      <c r="J15" s="1" t="s">
        <v>45</v>
      </c>
    </row>
    <row r="16" spans="1:10" ht="13.8" x14ac:dyDescent="0.25">
      <c r="A16" t="s">
        <v>46</v>
      </c>
      <c r="B16" s="8">
        <v>19</v>
      </c>
      <c r="C16" s="9" t="s">
        <v>16</v>
      </c>
      <c r="D16" s="9" t="s">
        <v>12</v>
      </c>
      <c r="E16" s="1">
        <v>45102</v>
      </c>
      <c r="F16" s="9" t="s">
        <v>22</v>
      </c>
      <c r="G16" s="11">
        <v>41946</v>
      </c>
      <c r="H16" s="8">
        <v>43</v>
      </c>
      <c r="I16" s="8">
        <v>0</v>
      </c>
      <c r="J16" s="1" t="s">
        <v>38</v>
      </c>
    </row>
    <row r="17" spans="1:10" ht="13.8" x14ac:dyDescent="0.25">
      <c r="A17" t="s">
        <v>47</v>
      </c>
      <c r="B17" s="8">
        <v>65</v>
      </c>
      <c r="C17" s="9" t="s">
        <v>16</v>
      </c>
      <c r="D17" s="9" t="s">
        <v>25</v>
      </c>
      <c r="E17" s="1">
        <v>45374</v>
      </c>
      <c r="F17" s="9" t="s">
        <v>26</v>
      </c>
      <c r="G17" s="11">
        <v>44034</v>
      </c>
      <c r="H17" s="8">
        <v>99</v>
      </c>
      <c r="I17" s="8">
        <v>0</v>
      </c>
      <c r="J17" s="1" t="s">
        <v>48</v>
      </c>
    </row>
    <row r="18" spans="1:10" ht="13.8" x14ac:dyDescent="0.25">
      <c r="A18" t="s">
        <v>49</v>
      </c>
      <c r="B18" s="8">
        <v>87</v>
      </c>
      <c r="C18" s="9" t="s">
        <v>16</v>
      </c>
      <c r="D18" s="9" t="s">
        <v>21</v>
      </c>
      <c r="E18" s="1">
        <v>45403</v>
      </c>
      <c r="F18" s="9" t="s">
        <v>13</v>
      </c>
      <c r="G18" s="11">
        <v>35890</v>
      </c>
      <c r="H18" s="8">
        <v>68</v>
      </c>
      <c r="I18" s="8">
        <v>5</v>
      </c>
      <c r="J18" s="1" t="s">
        <v>50</v>
      </c>
    </row>
    <row r="19" spans="1:10" ht="13.8" x14ac:dyDescent="0.25">
      <c r="A19" t="s">
        <v>51</v>
      </c>
      <c r="B19" s="8">
        <v>49</v>
      </c>
      <c r="C19" s="9" t="s">
        <v>11</v>
      </c>
      <c r="D19" s="9" t="s">
        <v>52</v>
      </c>
      <c r="E19" s="1">
        <v>45613</v>
      </c>
      <c r="F19" s="9" t="s">
        <v>53</v>
      </c>
      <c r="G19" s="11">
        <v>20761</v>
      </c>
      <c r="H19" s="8">
        <v>69</v>
      </c>
      <c r="I19" s="8">
        <v>2</v>
      </c>
      <c r="J19" s="1" t="s">
        <v>54</v>
      </c>
    </row>
    <row r="20" spans="1:10" ht="13.8" x14ac:dyDescent="0.25">
      <c r="A20" t="s">
        <v>55</v>
      </c>
      <c r="B20" s="8">
        <v>90</v>
      </c>
      <c r="C20" s="9" t="s">
        <v>16</v>
      </c>
      <c r="D20" s="9" t="s">
        <v>17</v>
      </c>
      <c r="E20" s="1">
        <v>45233</v>
      </c>
      <c r="F20" s="9" t="s">
        <v>29</v>
      </c>
      <c r="G20" s="11">
        <v>34314</v>
      </c>
      <c r="H20" s="8">
        <v>69</v>
      </c>
      <c r="I20" s="8">
        <v>1</v>
      </c>
      <c r="J20" s="1" t="s">
        <v>40</v>
      </c>
    </row>
    <row r="21" spans="1:10" ht="13.8" x14ac:dyDescent="0.25">
      <c r="A21" t="s">
        <v>56</v>
      </c>
      <c r="B21" s="8">
        <v>79</v>
      </c>
      <c r="C21" s="9" t="s">
        <v>11</v>
      </c>
      <c r="D21" s="9" t="s">
        <v>17</v>
      </c>
      <c r="E21" s="1">
        <v>45276</v>
      </c>
      <c r="F21" s="9" t="s">
        <v>53</v>
      </c>
      <c r="G21" s="11">
        <v>5816</v>
      </c>
      <c r="H21" s="8">
        <v>43</v>
      </c>
      <c r="I21" s="8">
        <v>3</v>
      </c>
      <c r="J21" s="1" t="s">
        <v>57</v>
      </c>
    </row>
    <row r="22" spans="1:10" ht="13.8" x14ac:dyDescent="0.25">
      <c r="A22" t="s">
        <v>58</v>
      </c>
      <c r="B22" s="8">
        <v>47</v>
      </c>
      <c r="C22" s="9" t="s">
        <v>16</v>
      </c>
      <c r="D22" s="9" t="s">
        <v>21</v>
      </c>
      <c r="E22" s="1">
        <v>45056</v>
      </c>
      <c r="F22" s="9" t="s">
        <v>29</v>
      </c>
      <c r="G22" s="11">
        <v>47186</v>
      </c>
      <c r="H22" s="8">
        <v>46</v>
      </c>
      <c r="I22" s="8">
        <v>4</v>
      </c>
      <c r="J22" s="1" t="s">
        <v>35</v>
      </c>
    </row>
    <row r="23" spans="1:10" ht="13.8" x14ac:dyDescent="0.25">
      <c r="A23" t="s">
        <v>59</v>
      </c>
      <c r="B23" s="8">
        <v>79</v>
      </c>
      <c r="C23" s="9" t="s">
        <v>11</v>
      </c>
      <c r="D23" s="9" t="s">
        <v>52</v>
      </c>
      <c r="E23" s="1">
        <v>45483</v>
      </c>
      <c r="F23" s="9" t="s">
        <v>53</v>
      </c>
      <c r="G23" s="11">
        <v>24442</v>
      </c>
      <c r="H23" s="8">
        <v>99</v>
      </c>
      <c r="I23" s="8">
        <v>2</v>
      </c>
      <c r="J23" s="1" t="s">
        <v>19</v>
      </c>
    </row>
    <row r="24" spans="1:10" ht="13.8" x14ac:dyDescent="0.25">
      <c r="A24" t="s">
        <v>60</v>
      </c>
      <c r="B24" s="8">
        <v>19</v>
      </c>
      <c r="C24" s="9" t="s">
        <v>16</v>
      </c>
      <c r="D24" s="9" t="s">
        <v>12</v>
      </c>
      <c r="E24" s="1">
        <v>45519</v>
      </c>
      <c r="F24" s="9" t="s">
        <v>18</v>
      </c>
      <c r="G24" s="11">
        <v>46904</v>
      </c>
      <c r="H24" s="8">
        <v>69</v>
      </c>
      <c r="I24" s="8">
        <v>4</v>
      </c>
      <c r="J24" s="1" t="s">
        <v>33</v>
      </c>
    </row>
    <row r="25" spans="1:10" ht="13.8" x14ac:dyDescent="0.25">
      <c r="A25" t="s">
        <v>61</v>
      </c>
      <c r="B25" s="8">
        <v>42</v>
      </c>
      <c r="C25" s="9" t="s">
        <v>11</v>
      </c>
      <c r="D25" s="9" t="s">
        <v>62</v>
      </c>
      <c r="E25" s="1">
        <v>45008</v>
      </c>
      <c r="F25" s="9" t="s">
        <v>18</v>
      </c>
      <c r="G25" s="11">
        <v>5130</v>
      </c>
      <c r="H25" s="8">
        <v>79</v>
      </c>
      <c r="I25" s="8">
        <v>5</v>
      </c>
      <c r="J25" s="1" t="s">
        <v>63</v>
      </c>
    </row>
    <row r="26" spans="1:10" ht="13.8" x14ac:dyDescent="0.25">
      <c r="A26" t="s">
        <v>64</v>
      </c>
      <c r="B26" s="8">
        <v>18</v>
      </c>
      <c r="C26" s="9" t="s">
        <v>11</v>
      </c>
      <c r="D26" s="9" t="s">
        <v>17</v>
      </c>
      <c r="E26" s="1">
        <v>45237</v>
      </c>
      <c r="F26" s="9" t="s">
        <v>13</v>
      </c>
      <c r="G26" s="11">
        <v>15779</v>
      </c>
      <c r="H26" s="8">
        <v>51</v>
      </c>
      <c r="I26" s="8">
        <v>2</v>
      </c>
      <c r="J26" s="1" t="s">
        <v>40</v>
      </c>
    </row>
    <row r="27" spans="1:10" ht="13.8" x14ac:dyDescent="0.25">
      <c r="A27" t="s">
        <v>65</v>
      </c>
      <c r="B27" s="8">
        <v>38</v>
      </c>
      <c r="C27" s="9" t="s">
        <v>16</v>
      </c>
      <c r="D27" s="9" t="s">
        <v>62</v>
      </c>
      <c r="E27" s="1">
        <v>45423</v>
      </c>
      <c r="F27" s="9" t="s">
        <v>18</v>
      </c>
      <c r="G27" s="11">
        <v>8113</v>
      </c>
      <c r="H27" s="8">
        <v>99</v>
      </c>
      <c r="I27" s="8">
        <v>2</v>
      </c>
      <c r="J27" s="1" t="s">
        <v>66</v>
      </c>
    </row>
    <row r="28" spans="1:10" ht="13.8" x14ac:dyDescent="0.25">
      <c r="A28" t="s">
        <v>67</v>
      </c>
      <c r="B28" s="8">
        <v>33</v>
      </c>
      <c r="C28" s="9" t="s">
        <v>16</v>
      </c>
      <c r="D28" s="9" t="s">
        <v>12</v>
      </c>
      <c r="E28" s="1">
        <v>45489</v>
      </c>
      <c r="F28" s="9" t="s">
        <v>22</v>
      </c>
      <c r="G28" s="11">
        <v>27383</v>
      </c>
      <c r="H28" s="8">
        <v>86</v>
      </c>
      <c r="I28" s="8">
        <v>4</v>
      </c>
      <c r="J28" s="1" t="s">
        <v>19</v>
      </c>
    </row>
    <row r="29" spans="1:10" ht="13.8" x14ac:dyDescent="0.25">
      <c r="A29" t="s">
        <v>68</v>
      </c>
      <c r="B29" s="8">
        <v>51</v>
      </c>
      <c r="C29" s="9" t="s">
        <v>16</v>
      </c>
      <c r="D29" s="9" t="s">
        <v>12</v>
      </c>
      <c r="E29" s="1">
        <v>45423</v>
      </c>
      <c r="F29" s="9" t="s">
        <v>13</v>
      </c>
      <c r="G29" s="11">
        <v>49266</v>
      </c>
      <c r="H29" s="8">
        <v>53</v>
      </c>
      <c r="I29" s="8">
        <v>0</v>
      </c>
      <c r="J29" s="1" t="s">
        <v>66</v>
      </c>
    </row>
    <row r="30" spans="1:10" ht="13.8" x14ac:dyDescent="0.25">
      <c r="A30" t="s">
        <v>69</v>
      </c>
      <c r="B30" s="8">
        <v>16</v>
      </c>
      <c r="C30" s="9" t="s">
        <v>11</v>
      </c>
      <c r="D30" s="9" t="s">
        <v>62</v>
      </c>
      <c r="E30" s="1">
        <v>45436</v>
      </c>
      <c r="F30" s="9" t="s">
        <v>26</v>
      </c>
      <c r="G30" s="11">
        <v>36801</v>
      </c>
      <c r="H30" s="8">
        <v>90</v>
      </c>
      <c r="I30" s="8">
        <v>0</v>
      </c>
      <c r="J30" s="1" t="s">
        <v>66</v>
      </c>
    </row>
    <row r="31" spans="1:10" ht="13.8" x14ac:dyDescent="0.25">
      <c r="A31" t="s">
        <v>70</v>
      </c>
      <c r="B31" s="8">
        <v>67</v>
      </c>
      <c r="C31" s="9" t="s">
        <v>16</v>
      </c>
      <c r="D31" s="9" t="s">
        <v>25</v>
      </c>
      <c r="E31" s="1">
        <v>45237</v>
      </c>
      <c r="F31" s="9" t="s">
        <v>22</v>
      </c>
      <c r="G31" s="11">
        <v>49814</v>
      </c>
      <c r="H31" s="8">
        <v>67</v>
      </c>
      <c r="I31" s="8">
        <v>4</v>
      </c>
      <c r="J31" s="1" t="s">
        <v>40</v>
      </c>
    </row>
    <row r="32" spans="1:10" ht="13.8" x14ac:dyDescent="0.25">
      <c r="A32" t="s">
        <v>71</v>
      </c>
      <c r="B32" s="8">
        <v>36</v>
      </c>
      <c r="C32" s="9" t="s">
        <v>11</v>
      </c>
      <c r="D32" s="9" t="s">
        <v>21</v>
      </c>
      <c r="E32" s="1">
        <v>45503</v>
      </c>
      <c r="F32" s="9" t="s">
        <v>29</v>
      </c>
      <c r="G32" s="11">
        <v>14261</v>
      </c>
      <c r="H32" s="8">
        <v>72</v>
      </c>
      <c r="I32" s="8">
        <v>4</v>
      </c>
      <c r="J32" s="1" t="s">
        <v>19</v>
      </c>
    </row>
    <row r="33" spans="1:10" ht="13.8" x14ac:dyDescent="0.25">
      <c r="A33" t="s">
        <v>72</v>
      </c>
      <c r="B33" s="8">
        <v>68</v>
      </c>
      <c r="C33" s="9" t="s">
        <v>16</v>
      </c>
      <c r="D33" s="9" t="s">
        <v>17</v>
      </c>
      <c r="E33" s="1">
        <v>45054</v>
      </c>
      <c r="F33" s="9" t="s">
        <v>22</v>
      </c>
      <c r="G33" s="11">
        <v>24304</v>
      </c>
      <c r="H33" s="8">
        <v>73</v>
      </c>
      <c r="I33" s="8">
        <v>4</v>
      </c>
      <c r="J33" s="1" t="s">
        <v>35</v>
      </c>
    </row>
    <row r="34" spans="1:10" ht="13.8" x14ac:dyDescent="0.25">
      <c r="A34" t="s">
        <v>73</v>
      </c>
      <c r="B34" s="8">
        <v>77</v>
      </c>
      <c r="C34" s="9" t="s">
        <v>16</v>
      </c>
      <c r="D34" s="9" t="s">
        <v>25</v>
      </c>
      <c r="E34" s="1">
        <v>45473</v>
      </c>
      <c r="F34" s="9" t="s">
        <v>29</v>
      </c>
      <c r="G34" s="11">
        <v>22279</v>
      </c>
      <c r="H34" s="8">
        <v>88</v>
      </c>
      <c r="I34" s="8">
        <v>1</v>
      </c>
      <c r="J34" s="1" t="s">
        <v>42</v>
      </c>
    </row>
    <row r="35" spans="1:10" ht="13.8" x14ac:dyDescent="0.25">
      <c r="A35" t="s">
        <v>74</v>
      </c>
      <c r="B35" s="8">
        <v>68</v>
      </c>
      <c r="C35" s="9" t="s">
        <v>11</v>
      </c>
      <c r="D35" s="9" t="s">
        <v>17</v>
      </c>
      <c r="E35" s="1">
        <v>45279</v>
      </c>
      <c r="F35" s="9" t="s">
        <v>13</v>
      </c>
      <c r="G35" s="11">
        <v>9985</v>
      </c>
      <c r="H35" s="8">
        <v>50</v>
      </c>
      <c r="I35" s="8">
        <v>5</v>
      </c>
      <c r="J35" s="1" t="s">
        <v>57</v>
      </c>
    </row>
    <row r="36" spans="1:10" ht="13.8" x14ac:dyDescent="0.25">
      <c r="A36" t="s">
        <v>75</v>
      </c>
      <c r="B36" s="8">
        <v>51</v>
      </c>
      <c r="C36" s="9" t="s">
        <v>16</v>
      </c>
      <c r="D36" s="9" t="s">
        <v>52</v>
      </c>
      <c r="E36" s="1">
        <v>45465</v>
      </c>
      <c r="F36" s="9" t="s">
        <v>18</v>
      </c>
      <c r="G36" s="11">
        <v>38631</v>
      </c>
      <c r="H36" s="8">
        <v>48</v>
      </c>
      <c r="I36" s="8">
        <v>1</v>
      </c>
      <c r="J36" s="1" t="s">
        <v>42</v>
      </c>
    </row>
    <row r="37" spans="1:10" ht="13.8" x14ac:dyDescent="0.25">
      <c r="A37" t="s">
        <v>76</v>
      </c>
      <c r="B37" s="8">
        <v>11</v>
      </c>
      <c r="C37" s="9" t="s">
        <v>11</v>
      </c>
      <c r="D37" s="9" t="s">
        <v>17</v>
      </c>
      <c r="E37" s="1">
        <v>45453</v>
      </c>
      <c r="F37" s="9" t="s">
        <v>29</v>
      </c>
      <c r="G37" s="11">
        <v>35971</v>
      </c>
      <c r="H37" s="8">
        <v>76</v>
      </c>
      <c r="I37" s="8">
        <v>4</v>
      </c>
      <c r="J37" s="1" t="s">
        <v>42</v>
      </c>
    </row>
    <row r="38" spans="1:10" ht="13.8" x14ac:dyDescent="0.25">
      <c r="A38" t="s">
        <v>77</v>
      </c>
      <c r="B38" s="8">
        <v>37</v>
      </c>
      <c r="C38" s="9" t="s">
        <v>11</v>
      </c>
      <c r="D38" s="9" t="s">
        <v>25</v>
      </c>
      <c r="E38" s="1">
        <v>45136</v>
      </c>
      <c r="F38" s="9" t="s">
        <v>13</v>
      </c>
      <c r="G38" s="11">
        <v>11405</v>
      </c>
      <c r="H38" s="8">
        <v>98</v>
      </c>
      <c r="I38" s="8">
        <v>1</v>
      </c>
      <c r="J38" s="1" t="s">
        <v>78</v>
      </c>
    </row>
    <row r="39" spans="1:10" ht="13.8" x14ac:dyDescent="0.25">
      <c r="A39" t="s">
        <v>79</v>
      </c>
      <c r="B39" s="8">
        <v>35</v>
      </c>
      <c r="C39" s="9" t="s">
        <v>16</v>
      </c>
      <c r="D39" s="9" t="s">
        <v>62</v>
      </c>
      <c r="E39" s="1">
        <v>45035</v>
      </c>
      <c r="F39" s="9" t="s">
        <v>26</v>
      </c>
      <c r="G39" s="11">
        <v>1819</v>
      </c>
      <c r="H39" s="8">
        <v>96</v>
      </c>
      <c r="I39" s="8">
        <v>1</v>
      </c>
      <c r="J39" s="1" t="s">
        <v>80</v>
      </c>
    </row>
    <row r="40" spans="1:10" ht="13.8" x14ac:dyDescent="0.25">
      <c r="A40" t="s">
        <v>81</v>
      </c>
      <c r="B40" s="8">
        <v>2</v>
      </c>
      <c r="C40" s="9" t="s">
        <v>11</v>
      </c>
      <c r="D40" s="9" t="s">
        <v>62</v>
      </c>
      <c r="E40" s="1">
        <v>45122</v>
      </c>
      <c r="F40" s="9" t="s">
        <v>22</v>
      </c>
      <c r="G40" s="11">
        <v>16478</v>
      </c>
      <c r="H40" s="8">
        <v>45</v>
      </c>
      <c r="I40" s="8">
        <v>4</v>
      </c>
      <c r="J40" s="1" t="s">
        <v>78</v>
      </c>
    </row>
    <row r="41" spans="1:10" ht="13.8" x14ac:dyDescent="0.25">
      <c r="A41" t="s">
        <v>82</v>
      </c>
      <c r="B41" s="8">
        <v>86</v>
      </c>
      <c r="C41" s="9" t="s">
        <v>16</v>
      </c>
      <c r="D41" s="9" t="s">
        <v>62</v>
      </c>
      <c r="E41" s="1">
        <v>45313</v>
      </c>
      <c r="F41" s="9" t="s">
        <v>26</v>
      </c>
      <c r="G41" s="11">
        <v>40281</v>
      </c>
      <c r="H41" s="8">
        <v>78</v>
      </c>
      <c r="I41" s="8">
        <v>3</v>
      </c>
      <c r="J41" s="1" t="s">
        <v>23</v>
      </c>
    </row>
    <row r="42" spans="1:10" ht="13.8" x14ac:dyDescent="0.25">
      <c r="A42" t="s">
        <v>83</v>
      </c>
      <c r="B42" s="8">
        <v>66</v>
      </c>
      <c r="C42" s="9" t="s">
        <v>16</v>
      </c>
      <c r="D42" s="9" t="s">
        <v>21</v>
      </c>
      <c r="E42" s="1">
        <v>45241</v>
      </c>
      <c r="F42" s="9" t="s">
        <v>13</v>
      </c>
      <c r="G42" s="11">
        <v>38918</v>
      </c>
      <c r="H42" s="8">
        <v>43</v>
      </c>
      <c r="I42" s="8">
        <v>1</v>
      </c>
      <c r="J42" s="1" t="s">
        <v>40</v>
      </c>
    </row>
    <row r="43" spans="1:10" ht="13.8" x14ac:dyDescent="0.25">
      <c r="A43" t="s">
        <v>84</v>
      </c>
      <c r="B43" s="8">
        <v>29</v>
      </c>
      <c r="C43" s="9" t="s">
        <v>16</v>
      </c>
      <c r="D43" s="9" t="s">
        <v>17</v>
      </c>
      <c r="E43" s="1">
        <v>45131</v>
      </c>
      <c r="F43" s="9" t="s">
        <v>29</v>
      </c>
      <c r="G43" s="11">
        <v>2914</v>
      </c>
      <c r="H43" s="8">
        <v>57</v>
      </c>
      <c r="I43" s="8">
        <v>2</v>
      </c>
      <c r="J43" s="1" t="s">
        <v>78</v>
      </c>
    </row>
    <row r="44" spans="1:10" ht="13.8" x14ac:dyDescent="0.25">
      <c r="A44" t="s">
        <v>85</v>
      </c>
      <c r="B44" s="8">
        <v>35</v>
      </c>
      <c r="C44" s="9" t="s">
        <v>16</v>
      </c>
      <c r="D44" s="9" t="s">
        <v>21</v>
      </c>
      <c r="E44" s="1">
        <v>45346</v>
      </c>
      <c r="F44" s="9" t="s">
        <v>53</v>
      </c>
      <c r="G44" s="11">
        <v>27796</v>
      </c>
      <c r="H44" s="8">
        <v>83</v>
      </c>
      <c r="I44" s="8">
        <v>3</v>
      </c>
      <c r="J44" s="1" t="s">
        <v>14</v>
      </c>
    </row>
    <row r="45" spans="1:10" ht="13.8" x14ac:dyDescent="0.25">
      <c r="A45" t="s">
        <v>86</v>
      </c>
      <c r="B45" s="8">
        <v>90</v>
      </c>
      <c r="C45" s="9" t="s">
        <v>11</v>
      </c>
      <c r="D45" s="9" t="s">
        <v>25</v>
      </c>
      <c r="E45" s="1">
        <v>45004</v>
      </c>
      <c r="F45" s="9" t="s">
        <v>29</v>
      </c>
      <c r="G45" s="11">
        <v>40231</v>
      </c>
      <c r="H45" s="8">
        <v>90</v>
      </c>
      <c r="I45" s="8">
        <v>5</v>
      </c>
      <c r="J45" s="1" t="s">
        <v>63</v>
      </c>
    </row>
    <row r="46" spans="1:10" ht="13.8" x14ac:dyDescent="0.25">
      <c r="A46" t="s">
        <v>87</v>
      </c>
      <c r="B46" s="8">
        <v>19</v>
      </c>
      <c r="C46" s="9" t="s">
        <v>16</v>
      </c>
      <c r="D46" s="9" t="s">
        <v>21</v>
      </c>
      <c r="E46" s="1">
        <v>45485</v>
      </c>
      <c r="F46" s="9" t="s">
        <v>18</v>
      </c>
      <c r="G46" s="11">
        <v>13127</v>
      </c>
      <c r="H46" s="8">
        <v>92</v>
      </c>
      <c r="I46" s="8">
        <v>1</v>
      </c>
      <c r="J46" s="1" t="s">
        <v>19</v>
      </c>
    </row>
    <row r="47" spans="1:10" ht="13.8" x14ac:dyDescent="0.25">
      <c r="A47" t="s">
        <v>88</v>
      </c>
      <c r="B47" s="8">
        <v>65</v>
      </c>
      <c r="C47" s="9" t="s">
        <v>16</v>
      </c>
      <c r="D47" s="9" t="s">
        <v>21</v>
      </c>
      <c r="E47" s="1">
        <v>45204</v>
      </c>
      <c r="F47" s="9" t="s">
        <v>29</v>
      </c>
      <c r="G47" s="11">
        <v>3771</v>
      </c>
      <c r="H47" s="8">
        <v>97</v>
      </c>
      <c r="I47" s="8">
        <v>3</v>
      </c>
      <c r="J47" s="1" t="s">
        <v>27</v>
      </c>
    </row>
    <row r="48" spans="1:10" ht="13.8" x14ac:dyDescent="0.25">
      <c r="A48" t="s">
        <v>89</v>
      </c>
      <c r="B48" s="8">
        <v>16</v>
      </c>
      <c r="C48" s="9" t="s">
        <v>11</v>
      </c>
      <c r="D48" s="9" t="s">
        <v>25</v>
      </c>
      <c r="E48" s="1">
        <v>45530</v>
      </c>
      <c r="F48" s="9" t="s">
        <v>29</v>
      </c>
      <c r="G48" s="11">
        <v>3105</v>
      </c>
      <c r="H48" s="8">
        <v>87</v>
      </c>
      <c r="I48" s="8">
        <v>4</v>
      </c>
      <c r="J48" s="1" t="s">
        <v>33</v>
      </c>
    </row>
    <row r="49" spans="1:10" ht="13.8" x14ac:dyDescent="0.25">
      <c r="A49" t="s">
        <v>90</v>
      </c>
      <c r="B49" s="8">
        <v>73</v>
      </c>
      <c r="C49" s="9" t="s">
        <v>11</v>
      </c>
      <c r="D49" s="9" t="s">
        <v>12</v>
      </c>
      <c r="E49" s="1">
        <v>45206</v>
      </c>
      <c r="F49" s="9" t="s">
        <v>29</v>
      </c>
      <c r="G49" s="11">
        <v>34411</v>
      </c>
      <c r="H49" s="8">
        <v>42</v>
      </c>
      <c r="I49" s="8">
        <v>3</v>
      </c>
      <c r="J49" s="1" t="s">
        <v>27</v>
      </c>
    </row>
    <row r="50" spans="1:10" ht="13.8" x14ac:dyDescent="0.25">
      <c r="A50" t="s">
        <v>91</v>
      </c>
      <c r="B50" s="8">
        <v>55</v>
      </c>
      <c r="C50" s="9" t="s">
        <v>11</v>
      </c>
      <c r="D50" s="9" t="s">
        <v>21</v>
      </c>
      <c r="E50" s="1">
        <v>45581</v>
      </c>
      <c r="F50" s="9" t="s">
        <v>18</v>
      </c>
      <c r="G50" s="11">
        <v>20554</v>
      </c>
      <c r="H50" s="8">
        <v>90</v>
      </c>
      <c r="I50" s="8">
        <v>2</v>
      </c>
      <c r="J50" s="1" t="s">
        <v>92</v>
      </c>
    </row>
    <row r="51" spans="1:10" ht="13.8" x14ac:dyDescent="0.25">
      <c r="A51" t="s">
        <v>93</v>
      </c>
      <c r="B51" s="8">
        <v>27</v>
      </c>
      <c r="C51" s="9" t="s">
        <v>16</v>
      </c>
      <c r="D51" s="9" t="s">
        <v>21</v>
      </c>
      <c r="E51" s="1">
        <v>45455</v>
      </c>
      <c r="F51" s="9" t="s">
        <v>13</v>
      </c>
      <c r="G51" s="11">
        <v>13428</v>
      </c>
      <c r="H51" s="8">
        <v>96</v>
      </c>
      <c r="I51" s="8">
        <v>2</v>
      </c>
      <c r="J51" s="1" t="s">
        <v>42</v>
      </c>
    </row>
    <row r="52" spans="1:10" ht="13.8" x14ac:dyDescent="0.25">
      <c r="A52" t="s">
        <v>94</v>
      </c>
      <c r="B52" s="8">
        <v>4</v>
      </c>
      <c r="C52" s="9" t="s">
        <v>11</v>
      </c>
      <c r="D52" s="9" t="s">
        <v>25</v>
      </c>
      <c r="E52" s="1">
        <v>44938</v>
      </c>
      <c r="F52" s="9" t="s">
        <v>22</v>
      </c>
      <c r="G52" s="11">
        <v>34191</v>
      </c>
      <c r="H52" s="8">
        <v>85</v>
      </c>
      <c r="I52" s="8">
        <v>2</v>
      </c>
      <c r="J52" s="1" t="s">
        <v>95</v>
      </c>
    </row>
    <row r="53" spans="1:10" ht="13.8" x14ac:dyDescent="0.25">
      <c r="A53" t="s">
        <v>96</v>
      </c>
      <c r="B53" s="8">
        <v>55</v>
      </c>
      <c r="C53" s="9" t="s">
        <v>16</v>
      </c>
      <c r="D53" s="9" t="s">
        <v>17</v>
      </c>
      <c r="E53" s="1">
        <v>45313</v>
      </c>
      <c r="F53" s="9" t="s">
        <v>13</v>
      </c>
      <c r="G53" s="11">
        <v>13781</v>
      </c>
      <c r="H53" s="8">
        <v>66</v>
      </c>
      <c r="I53" s="8">
        <v>4</v>
      </c>
      <c r="J53" s="1" t="s">
        <v>23</v>
      </c>
    </row>
    <row r="54" spans="1:10" ht="13.8" x14ac:dyDescent="0.25">
      <c r="A54" t="s">
        <v>97</v>
      </c>
      <c r="B54" s="8">
        <v>35</v>
      </c>
      <c r="C54" s="9" t="s">
        <v>11</v>
      </c>
      <c r="D54" s="9" t="s">
        <v>17</v>
      </c>
      <c r="E54" s="1">
        <v>45267</v>
      </c>
      <c r="F54" s="9" t="s">
        <v>26</v>
      </c>
      <c r="G54" s="11">
        <v>28066</v>
      </c>
      <c r="H54" s="8">
        <v>95</v>
      </c>
      <c r="I54" s="8">
        <v>0</v>
      </c>
      <c r="J54" s="1" t="s">
        <v>57</v>
      </c>
    </row>
    <row r="55" spans="1:10" ht="13.8" x14ac:dyDescent="0.25">
      <c r="A55" t="s">
        <v>98</v>
      </c>
      <c r="B55" s="8">
        <v>42</v>
      </c>
      <c r="C55" s="9" t="s">
        <v>16</v>
      </c>
      <c r="D55" s="9" t="s">
        <v>25</v>
      </c>
      <c r="E55" s="1">
        <v>45624</v>
      </c>
      <c r="F55" s="9" t="s">
        <v>13</v>
      </c>
      <c r="G55" s="11">
        <v>23554</v>
      </c>
      <c r="H55" s="8">
        <v>67</v>
      </c>
      <c r="I55" s="8">
        <v>0</v>
      </c>
      <c r="J55" s="1" t="s">
        <v>54</v>
      </c>
    </row>
    <row r="56" spans="1:10" ht="13.8" x14ac:dyDescent="0.25">
      <c r="A56" t="s">
        <v>99</v>
      </c>
      <c r="B56" s="8">
        <v>22</v>
      </c>
      <c r="C56" s="9" t="s">
        <v>16</v>
      </c>
      <c r="D56" s="9" t="s">
        <v>52</v>
      </c>
      <c r="E56" s="1">
        <v>45011</v>
      </c>
      <c r="F56" s="9" t="s">
        <v>29</v>
      </c>
      <c r="G56" s="11">
        <v>44740</v>
      </c>
      <c r="H56" s="8">
        <v>52</v>
      </c>
      <c r="I56" s="8">
        <v>5</v>
      </c>
      <c r="J56" s="1" t="s">
        <v>63</v>
      </c>
    </row>
    <row r="57" spans="1:10" ht="13.8" x14ac:dyDescent="0.25">
      <c r="A57" t="s">
        <v>100</v>
      </c>
      <c r="B57" s="8">
        <v>51</v>
      </c>
      <c r="C57" s="9" t="s">
        <v>11</v>
      </c>
      <c r="D57" s="9" t="s">
        <v>62</v>
      </c>
      <c r="E57" s="1">
        <v>45266</v>
      </c>
      <c r="F57" s="9" t="s">
        <v>26</v>
      </c>
      <c r="G57" s="11">
        <v>1200</v>
      </c>
      <c r="H57" s="8">
        <v>49</v>
      </c>
      <c r="I57" s="8">
        <v>1</v>
      </c>
      <c r="J57" s="1" t="s">
        <v>57</v>
      </c>
    </row>
    <row r="58" spans="1:10" ht="13.8" x14ac:dyDescent="0.25">
      <c r="A58" t="s">
        <v>101</v>
      </c>
      <c r="B58" s="8">
        <v>72</v>
      </c>
      <c r="C58" s="9" t="s">
        <v>11</v>
      </c>
      <c r="D58" s="9" t="s">
        <v>52</v>
      </c>
      <c r="E58" s="1">
        <v>45147</v>
      </c>
      <c r="F58" s="9" t="s">
        <v>13</v>
      </c>
      <c r="G58" s="11">
        <v>41781</v>
      </c>
      <c r="H58" s="8">
        <v>88</v>
      </c>
      <c r="I58" s="8">
        <v>1</v>
      </c>
      <c r="J58" s="1" t="s">
        <v>30</v>
      </c>
    </row>
    <row r="59" spans="1:10" ht="13.8" x14ac:dyDescent="0.25">
      <c r="A59" t="s">
        <v>102</v>
      </c>
      <c r="B59" s="8">
        <v>37</v>
      </c>
      <c r="C59" s="9" t="s">
        <v>11</v>
      </c>
      <c r="D59" s="9" t="s">
        <v>25</v>
      </c>
      <c r="E59" s="1">
        <v>45582</v>
      </c>
      <c r="F59" s="9" t="s">
        <v>22</v>
      </c>
      <c r="G59" s="11">
        <v>49234</v>
      </c>
      <c r="H59" s="8">
        <v>92</v>
      </c>
      <c r="I59" s="8">
        <v>4</v>
      </c>
      <c r="J59" s="1" t="s">
        <v>92</v>
      </c>
    </row>
    <row r="60" spans="1:10" ht="13.8" x14ac:dyDescent="0.25">
      <c r="A60" t="s">
        <v>103</v>
      </c>
      <c r="B60" s="8">
        <v>53</v>
      </c>
      <c r="C60" s="9" t="s">
        <v>16</v>
      </c>
      <c r="D60" s="9" t="s">
        <v>21</v>
      </c>
      <c r="E60" s="1">
        <v>45471</v>
      </c>
      <c r="F60" s="9" t="s">
        <v>26</v>
      </c>
      <c r="G60" s="11">
        <v>45845</v>
      </c>
      <c r="H60" s="8">
        <v>40</v>
      </c>
      <c r="I60" s="8">
        <v>5</v>
      </c>
      <c r="J60" s="1" t="s">
        <v>42</v>
      </c>
    </row>
    <row r="61" spans="1:10" ht="13.8" x14ac:dyDescent="0.25">
      <c r="A61" t="s">
        <v>104</v>
      </c>
      <c r="B61" s="8">
        <v>65</v>
      </c>
      <c r="C61" s="9" t="s">
        <v>16</v>
      </c>
      <c r="D61" s="9" t="s">
        <v>12</v>
      </c>
      <c r="E61" s="1">
        <v>45064</v>
      </c>
      <c r="F61" s="9" t="s">
        <v>22</v>
      </c>
      <c r="G61" s="11">
        <v>11201</v>
      </c>
      <c r="H61" s="8">
        <v>73</v>
      </c>
      <c r="I61" s="8">
        <v>0</v>
      </c>
      <c r="J61" s="1" t="s">
        <v>35</v>
      </c>
    </row>
    <row r="62" spans="1:10" ht="13.8" x14ac:dyDescent="0.25">
      <c r="A62" t="s">
        <v>105</v>
      </c>
      <c r="B62" s="8">
        <v>50</v>
      </c>
      <c r="C62" s="9" t="s">
        <v>11</v>
      </c>
      <c r="D62" s="9" t="s">
        <v>62</v>
      </c>
      <c r="E62" s="1">
        <v>45085</v>
      </c>
      <c r="F62" s="9" t="s">
        <v>22</v>
      </c>
      <c r="G62" s="11">
        <v>41165</v>
      </c>
      <c r="H62" s="8">
        <v>87</v>
      </c>
      <c r="I62" s="8">
        <v>1</v>
      </c>
      <c r="J62" s="1" t="s">
        <v>38</v>
      </c>
    </row>
    <row r="63" spans="1:10" ht="13.8" x14ac:dyDescent="0.25">
      <c r="A63" t="s">
        <v>106</v>
      </c>
      <c r="B63" s="8">
        <v>74</v>
      </c>
      <c r="C63" s="9" t="s">
        <v>11</v>
      </c>
      <c r="D63" s="9" t="s">
        <v>52</v>
      </c>
      <c r="E63" s="1">
        <v>45278</v>
      </c>
      <c r="F63" s="9" t="s">
        <v>22</v>
      </c>
      <c r="G63" s="11">
        <v>35207</v>
      </c>
      <c r="H63" s="8">
        <v>96</v>
      </c>
      <c r="I63" s="8">
        <v>3</v>
      </c>
      <c r="J63" s="1" t="s">
        <v>57</v>
      </c>
    </row>
    <row r="64" spans="1:10" ht="13.8" x14ac:dyDescent="0.25">
      <c r="A64" t="s">
        <v>107</v>
      </c>
      <c r="B64" s="8">
        <v>32</v>
      </c>
      <c r="C64" s="9" t="s">
        <v>11</v>
      </c>
      <c r="D64" s="9" t="s">
        <v>62</v>
      </c>
      <c r="E64" s="1">
        <v>45009</v>
      </c>
      <c r="F64" s="9" t="s">
        <v>22</v>
      </c>
      <c r="G64" s="11">
        <v>3670</v>
      </c>
      <c r="H64" s="8">
        <v>75</v>
      </c>
      <c r="I64" s="8">
        <v>2</v>
      </c>
      <c r="J64" s="1" t="s">
        <v>63</v>
      </c>
    </row>
    <row r="65" spans="1:10" ht="13.8" x14ac:dyDescent="0.25">
      <c r="A65" t="s">
        <v>108</v>
      </c>
      <c r="B65" s="8">
        <v>32</v>
      </c>
      <c r="C65" s="9" t="s">
        <v>16</v>
      </c>
      <c r="D65" s="9" t="s">
        <v>17</v>
      </c>
      <c r="E65" s="1">
        <v>45191</v>
      </c>
      <c r="F65" s="9" t="s">
        <v>53</v>
      </c>
      <c r="G65" s="11">
        <v>28055</v>
      </c>
      <c r="H65" s="8">
        <v>40</v>
      </c>
      <c r="I65" s="8">
        <v>0</v>
      </c>
      <c r="J65" s="1" t="s">
        <v>109</v>
      </c>
    </row>
    <row r="66" spans="1:10" ht="13.8" x14ac:dyDescent="0.25">
      <c r="A66" t="s">
        <v>110</v>
      </c>
      <c r="B66" s="8">
        <v>49</v>
      </c>
      <c r="C66" s="9" t="s">
        <v>11</v>
      </c>
      <c r="D66" s="9" t="s">
        <v>62</v>
      </c>
      <c r="E66" s="1">
        <v>45239</v>
      </c>
      <c r="F66" s="9" t="s">
        <v>18</v>
      </c>
      <c r="G66" s="11">
        <v>41914</v>
      </c>
      <c r="H66" s="8">
        <v>65</v>
      </c>
      <c r="I66" s="8">
        <v>5</v>
      </c>
      <c r="J66" s="1" t="s">
        <v>40</v>
      </c>
    </row>
    <row r="67" spans="1:10" ht="13.8" x14ac:dyDescent="0.25">
      <c r="A67" t="s">
        <v>111</v>
      </c>
      <c r="B67" s="8">
        <v>32</v>
      </c>
      <c r="C67" s="9" t="s">
        <v>16</v>
      </c>
      <c r="D67" s="9" t="s">
        <v>62</v>
      </c>
      <c r="E67" s="1">
        <v>45052</v>
      </c>
      <c r="F67" s="9" t="s">
        <v>13</v>
      </c>
      <c r="G67" s="11">
        <v>10240</v>
      </c>
      <c r="H67" s="8">
        <v>98</v>
      </c>
      <c r="I67" s="8">
        <v>1</v>
      </c>
      <c r="J67" s="1" t="s">
        <v>35</v>
      </c>
    </row>
    <row r="68" spans="1:10" ht="13.8" x14ac:dyDescent="0.25">
      <c r="A68" t="s">
        <v>112</v>
      </c>
      <c r="B68" s="8">
        <v>39</v>
      </c>
      <c r="C68" s="9" t="s">
        <v>11</v>
      </c>
      <c r="D68" s="9" t="s">
        <v>25</v>
      </c>
      <c r="E68" s="1">
        <v>44990</v>
      </c>
      <c r="F68" s="9" t="s">
        <v>13</v>
      </c>
      <c r="G68" s="11">
        <v>40255</v>
      </c>
      <c r="H68" s="8">
        <v>71</v>
      </c>
      <c r="I68" s="8">
        <v>4</v>
      </c>
      <c r="J68" s="1" t="s">
        <v>63</v>
      </c>
    </row>
    <row r="69" spans="1:10" ht="13.8" x14ac:dyDescent="0.25">
      <c r="A69" t="s">
        <v>113</v>
      </c>
      <c r="B69" s="8">
        <v>68</v>
      </c>
      <c r="C69" s="9" t="s">
        <v>16</v>
      </c>
      <c r="D69" s="9" t="s">
        <v>25</v>
      </c>
      <c r="E69" s="1">
        <v>45330</v>
      </c>
      <c r="F69" s="9" t="s">
        <v>29</v>
      </c>
      <c r="G69" s="11">
        <v>31040</v>
      </c>
      <c r="H69" s="8">
        <v>57</v>
      </c>
      <c r="I69" s="8">
        <v>1</v>
      </c>
      <c r="J69" s="1" t="s">
        <v>14</v>
      </c>
    </row>
    <row r="70" spans="1:10" ht="13.8" x14ac:dyDescent="0.25">
      <c r="A70" t="s">
        <v>114</v>
      </c>
      <c r="B70" s="8">
        <v>90</v>
      </c>
      <c r="C70" s="9" t="s">
        <v>16</v>
      </c>
      <c r="D70" s="9" t="s">
        <v>21</v>
      </c>
      <c r="E70" s="1">
        <v>45334</v>
      </c>
      <c r="F70" s="9" t="s">
        <v>26</v>
      </c>
      <c r="G70" s="11">
        <v>6841</v>
      </c>
      <c r="H70" s="8">
        <v>98</v>
      </c>
      <c r="I70" s="8">
        <v>2</v>
      </c>
      <c r="J70" s="1" t="s">
        <v>14</v>
      </c>
    </row>
    <row r="71" spans="1:10" ht="13.8" x14ac:dyDescent="0.25">
      <c r="A71" t="s">
        <v>115</v>
      </c>
      <c r="B71" s="8">
        <v>8</v>
      </c>
      <c r="C71" s="9" t="s">
        <v>16</v>
      </c>
      <c r="D71" s="9" t="s">
        <v>52</v>
      </c>
      <c r="E71" s="1">
        <v>45273</v>
      </c>
      <c r="F71" s="9" t="s">
        <v>53</v>
      </c>
      <c r="G71" s="11">
        <v>28794</v>
      </c>
      <c r="H71" s="8">
        <v>65</v>
      </c>
      <c r="I71" s="8">
        <v>2</v>
      </c>
      <c r="J71" s="1" t="s">
        <v>57</v>
      </c>
    </row>
    <row r="72" spans="1:10" ht="13.8" x14ac:dyDescent="0.25">
      <c r="A72" t="s">
        <v>116</v>
      </c>
      <c r="B72" s="8">
        <v>84</v>
      </c>
      <c r="C72" s="9" t="s">
        <v>11</v>
      </c>
      <c r="D72" s="9" t="s">
        <v>21</v>
      </c>
      <c r="E72" s="1">
        <v>45605</v>
      </c>
      <c r="F72" s="9" t="s">
        <v>18</v>
      </c>
      <c r="G72" s="11">
        <v>34770</v>
      </c>
      <c r="H72" s="8">
        <v>51</v>
      </c>
      <c r="I72" s="8">
        <v>1</v>
      </c>
      <c r="J72" s="1" t="s">
        <v>54</v>
      </c>
    </row>
    <row r="73" spans="1:10" ht="13.8" x14ac:dyDescent="0.25">
      <c r="A73" t="s">
        <v>117</v>
      </c>
      <c r="B73" s="8">
        <v>64</v>
      </c>
      <c r="C73" s="9" t="s">
        <v>11</v>
      </c>
      <c r="D73" s="9" t="s">
        <v>25</v>
      </c>
      <c r="E73" s="1">
        <v>45486</v>
      </c>
      <c r="F73" s="9" t="s">
        <v>26</v>
      </c>
      <c r="G73" s="11">
        <v>46175</v>
      </c>
      <c r="H73" s="8">
        <v>84</v>
      </c>
      <c r="I73" s="8">
        <v>0</v>
      </c>
      <c r="J73" s="1" t="s">
        <v>19</v>
      </c>
    </row>
    <row r="74" spans="1:10" ht="13.8" x14ac:dyDescent="0.25">
      <c r="A74" t="s">
        <v>118</v>
      </c>
      <c r="B74" s="8">
        <v>75</v>
      </c>
      <c r="C74" s="9" t="s">
        <v>16</v>
      </c>
      <c r="D74" s="9" t="s">
        <v>62</v>
      </c>
      <c r="E74" s="1">
        <v>45604</v>
      </c>
      <c r="F74" s="9" t="s">
        <v>22</v>
      </c>
      <c r="G74" s="11">
        <v>20280</v>
      </c>
      <c r="H74" s="8">
        <v>73</v>
      </c>
      <c r="I74" s="8">
        <v>3</v>
      </c>
      <c r="J74" s="1" t="s">
        <v>54</v>
      </c>
    </row>
    <row r="75" spans="1:10" ht="13.8" x14ac:dyDescent="0.25">
      <c r="A75" t="s">
        <v>119</v>
      </c>
      <c r="B75" s="8">
        <v>2</v>
      </c>
      <c r="C75" s="9" t="s">
        <v>11</v>
      </c>
      <c r="D75" s="9" t="s">
        <v>62</v>
      </c>
      <c r="E75" s="1">
        <v>45571</v>
      </c>
      <c r="F75" s="9" t="s">
        <v>13</v>
      </c>
      <c r="G75" s="11">
        <v>4850</v>
      </c>
      <c r="H75" s="8">
        <v>50</v>
      </c>
      <c r="I75" s="8">
        <v>2</v>
      </c>
      <c r="J75" s="1" t="s">
        <v>92</v>
      </c>
    </row>
    <row r="76" spans="1:10" ht="13.8" x14ac:dyDescent="0.25">
      <c r="A76" t="s">
        <v>120</v>
      </c>
      <c r="B76" s="8">
        <v>12</v>
      </c>
      <c r="C76" s="9" t="s">
        <v>11</v>
      </c>
      <c r="D76" s="9" t="s">
        <v>12</v>
      </c>
      <c r="E76" s="1">
        <v>45459</v>
      </c>
      <c r="F76" s="9" t="s">
        <v>22</v>
      </c>
      <c r="G76" s="11">
        <v>41924</v>
      </c>
      <c r="H76" s="8">
        <v>85</v>
      </c>
      <c r="I76" s="8">
        <v>2</v>
      </c>
      <c r="J76" s="1" t="s">
        <v>42</v>
      </c>
    </row>
    <row r="77" spans="1:10" ht="13.8" x14ac:dyDescent="0.25">
      <c r="A77" t="s">
        <v>121</v>
      </c>
      <c r="B77" s="8">
        <v>31</v>
      </c>
      <c r="C77" s="9" t="s">
        <v>16</v>
      </c>
      <c r="D77" s="9" t="s">
        <v>12</v>
      </c>
      <c r="E77" s="1">
        <v>45513</v>
      </c>
      <c r="F77" s="9" t="s">
        <v>22</v>
      </c>
      <c r="G77" s="11">
        <v>48016</v>
      </c>
      <c r="H77" s="8">
        <v>88</v>
      </c>
      <c r="I77" s="8">
        <v>0</v>
      </c>
      <c r="J77" s="1" t="s">
        <v>33</v>
      </c>
    </row>
    <row r="78" spans="1:10" ht="13.8" x14ac:dyDescent="0.25">
      <c r="A78" t="s">
        <v>122</v>
      </c>
      <c r="B78" s="8">
        <v>88</v>
      </c>
      <c r="C78" s="9" t="s">
        <v>16</v>
      </c>
      <c r="D78" s="9" t="s">
        <v>17</v>
      </c>
      <c r="E78" s="1">
        <v>45023</v>
      </c>
      <c r="F78" s="9" t="s">
        <v>26</v>
      </c>
      <c r="G78" s="11">
        <v>2327</v>
      </c>
      <c r="H78" s="8">
        <v>69</v>
      </c>
      <c r="I78" s="8">
        <v>0</v>
      </c>
      <c r="J78" s="1" t="s">
        <v>80</v>
      </c>
    </row>
    <row r="79" spans="1:10" ht="13.8" x14ac:dyDescent="0.25">
      <c r="A79" t="s">
        <v>123</v>
      </c>
      <c r="B79" s="8">
        <v>53</v>
      </c>
      <c r="C79" s="9" t="s">
        <v>11</v>
      </c>
      <c r="D79" s="9" t="s">
        <v>21</v>
      </c>
      <c r="E79" s="1">
        <v>45468</v>
      </c>
      <c r="F79" s="9" t="s">
        <v>22</v>
      </c>
      <c r="G79" s="11">
        <v>30512</v>
      </c>
      <c r="H79" s="8">
        <v>49</v>
      </c>
      <c r="I79" s="8">
        <v>3</v>
      </c>
      <c r="J79" s="1" t="s">
        <v>42</v>
      </c>
    </row>
    <row r="80" spans="1:10" ht="13.8" x14ac:dyDescent="0.25">
      <c r="A80" t="s">
        <v>124</v>
      </c>
      <c r="B80" s="8">
        <v>81</v>
      </c>
      <c r="C80" s="9" t="s">
        <v>11</v>
      </c>
      <c r="D80" s="9" t="s">
        <v>21</v>
      </c>
      <c r="E80" s="1">
        <v>44939</v>
      </c>
      <c r="F80" s="9" t="s">
        <v>29</v>
      </c>
      <c r="G80" s="11">
        <v>15083</v>
      </c>
      <c r="H80" s="8">
        <v>49</v>
      </c>
      <c r="I80" s="8">
        <v>5</v>
      </c>
      <c r="J80" s="1" t="s">
        <v>95</v>
      </c>
    </row>
    <row r="81" spans="1:10" ht="13.8" x14ac:dyDescent="0.25">
      <c r="A81" t="s">
        <v>125</v>
      </c>
      <c r="B81" s="8">
        <v>79</v>
      </c>
      <c r="C81" s="9" t="s">
        <v>16</v>
      </c>
      <c r="D81" s="9" t="s">
        <v>12</v>
      </c>
      <c r="E81" s="1">
        <v>44960</v>
      </c>
      <c r="F81" s="9" t="s">
        <v>26</v>
      </c>
      <c r="G81" s="11">
        <v>44318</v>
      </c>
      <c r="H81" s="8">
        <v>88</v>
      </c>
      <c r="I81" s="8">
        <v>4</v>
      </c>
      <c r="J81" s="1" t="s">
        <v>126</v>
      </c>
    </row>
    <row r="82" spans="1:10" ht="13.8" x14ac:dyDescent="0.25">
      <c r="A82" t="s">
        <v>127</v>
      </c>
      <c r="B82" s="8">
        <v>36</v>
      </c>
      <c r="C82" s="9" t="s">
        <v>11</v>
      </c>
      <c r="D82" s="9" t="s">
        <v>52</v>
      </c>
      <c r="E82" s="1">
        <v>45417</v>
      </c>
      <c r="F82" s="9" t="s">
        <v>53</v>
      </c>
      <c r="G82" s="11">
        <v>40691</v>
      </c>
      <c r="H82" s="8">
        <v>97</v>
      </c>
      <c r="I82" s="8">
        <v>5</v>
      </c>
      <c r="J82" s="1" t="s">
        <v>66</v>
      </c>
    </row>
    <row r="83" spans="1:10" ht="13.8" x14ac:dyDescent="0.25">
      <c r="A83" t="s">
        <v>128</v>
      </c>
      <c r="B83" s="8">
        <v>47</v>
      </c>
      <c r="C83" s="9" t="s">
        <v>11</v>
      </c>
      <c r="D83" s="9" t="s">
        <v>52</v>
      </c>
      <c r="E83" s="1">
        <v>45509</v>
      </c>
      <c r="F83" s="9" t="s">
        <v>18</v>
      </c>
      <c r="G83" s="11">
        <v>1282</v>
      </c>
      <c r="H83" s="8">
        <v>40</v>
      </c>
      <c r="I83" s="8">
        <v>1</v>
      </c>
      <c r="J83" s="1" t="s">
        <v>33</v>
      </c>
    </row>
    <row r="84" spans="1:10" ht="13.8" x14ac:dyDescent="0.25">
      <c r="A84" t="s">
        <v>129</v>
      </c>
      <c r="B84" s="8">
        <v>64</v>
      </c>
      <c r="C84" s="9" t="s">
        <v>11</v>
      </c>
      <c r="D84" s="9" t="s">
        <v>62</v>
      </c>
      <c r="E84" s="1">
        <v>45506</v>
      </c>
      <c r="F84" s="9" t="s">
        <v>53</v>
      </c>
      <c r="G84" s="11">
        <v>21942</v>
      </c>
      <c r="H84" s="8">
        <v>65</v>
      </c>
      <c r="I84" s="8">
        <v>3</v>
      </c>
      <c r="J84" s="1" t="s">
        <v>33</v>
      </c>
    </row>
    <row r="85" spans="1:10" ht="13.8" x14ac:dyDescent="0.25">
      <c r="A85" t="s">
        <v>130</v>
      </c>
      <c r="B85" s="8">
        <v>41</v>
      </c>
      <c r="C85" s="9" t="s">
        <v>16</v>
      </c>
      <c r="D85" s="9" t="s">
        <v>62</v>
      </c>
      <c r="E85" s="1">
        <v>45589</v>
      </c>
      <c r="F85" s="9" t="s">
        <v>13</v>
      </c>
      <c r="G85" s="11">
        <v>40700</v>
      </c>
      <c r="H85" s="8">
        <v>93</v>
      </c>
      <c r="I85" s="8">
        <v>5</v>
      </c>
      <c r="J85" s="1" t="s">
        <v>92</v>
      </c>
    </row>
    <row r="86" spans="1:10" ht="13.8" x14ac:dyDescent="0.25">
      <c r="A86" t="s">
        <v>131</v>
      </c>
      <c r="B86" s="8">
        <v>29</v>
      </c>
      <c r="C86" s="9" t="s">
        <v>11</v>
      </c>
      <c r="D86" s="9" t="s">
        <v>12</v>
      </c>
      <c r="E86" s="1">
        <v>45045</v>
      </c>
      <c r="F86" s="9" t="s">
        <v>26</v>
      </c>
      <c r="G86" s="11">
        <v>23043</v>
      </c>
      <c r="H86" s="8">
        <v>42</v>
      </c>
      <c r="I86" s="8">
        <v>3</v>
      </c>
      <c r="J86" s="1" t="s">
        <v>80</v>
      </c>
    </row>
    <row r="87" spans="1:10" ht="13.8" x14ac:dyDescent="0.25">
      <c r="A87" t="s">
        <v>132</v>
      </c>
      <c r="B87" s="8">
        <v>47</v>
      </c>
      <c r="C87" s="9" t="s">
        <v>11</v>
      </c>
      <c r="D87" s="9" t="s">
        <v>17</v>
      </c>
      <c r="E87" s="1">
        <v>45566</v>
      </c>
      <c r="F87" s="9" t="s">
        <v>26</v>
      </c>
      <c r="G87" s="11">
        <v>26714</v>
      </c>
      <c r="H87" s="8">
        <v>47</v>
      </c>
      <c r="I87" s="8">
        <v>0</v>
      </c>
      <c r="J87" s="1" t="s">
        <v>92</v>
      </c>
    </row>
    <row r="88" spans="1:10" ht="13.8" x14ac:dyDescent="0.25">
      <c r="A88" t="s">
        <v>133</v>
      </c>
      <c r="B88" s="8">
        <v>7</v>
      </c>
      <c r="C88" s="9" t="s">
        <v>11</v>
      </c>
      <c r="D88" s="9" t="s">
        <v>17</v>
      </c>
      <c r="E88" s="1">
        <v>45116</v>
      </c>
      <c r="F88" s="9" t="s">
        <v>13</v>
      </c>
      <c r="G88" s="11">
        <v>41465</v>
      </c>
      <c r="H88" s="8">
        <v>68</v>
      </c>
      <c r="I88" s="8">
        <v>4</v>
      </c>
      <c r="J88" s="1" t="s">
        <v>78</v>
      </c>
    </row>
    <row r="89" spans="1:10" ht="13.8" x14ac:dyDescent="0.25">
      <c r="A89" t="s">
        <v>134</v>
      </c>
      <c r="B89" s="8">
        <v>55</v>
      </c>
      <c r="C89" s="9" t="s">
        <v>16</v>
      </c>
      <c r="D89" s="9" t="s">
        <v>17</v>
      </c>
      <c r="E89" s="1">
        <v>45192</v>
      </c>
      <c r="F89" s="9" t="s">
        <v>26</v>
      </c>
      <c r="G89" s="11">
        <v>32002</v>
      </c>
      <c r="H89" s="8">
        <v>50</v>
      </c>
      <c r="I89" s="8">
        <v>5</v>
      </c>
      <c r="J89" s="1" t="s">
        <v>109</v>
      </c>
    </row>
    <row r="90" spans="1:10" ht="13.8" x14ac:dyDescent="0.25">
      <c r="A90" t="s">
        <v>135</v>
      </c>
      <c r="B90" s="8">
        <v>77</v>
      </c>
      <c r="C90" s="9" t="s">
        <v>11</v>
      </c>
      <c r="D90" s="9" t="s">
        <v>62</v>
      </c>
      <c r="E90" s="1">
        <v>45258</v>
      </c>
      <c r="F90" s="9" t="s">
        <v>22</v>
      </c>
      <c r="G90" s="11">
        <v>37797</v>
      </c>
      <c r="H90" s="8">
        <v>44</v>
      </c>
      <c r="I90" s="8">
        <v>5</v>
      </c>
      <c r="J90" s="1" t="s">
        <v>40</v>
      </c>
    </row>
    <row r="91" spans="1:10" ht="13.8" x14ac:dyDescent="0.25">
      <c r="A91" t="s">
        <v>136</v>
      </c>
      <c r="B91" s="8">
        <v>74</v>
      </c>
      <c r="C91" s="9" t="s">
        <v>16</v>
      </c>
      <c r="D91" s="9" t="s">
        <v>17</v>
      </c>
      <c r="E91" s="1">
        <v>45560</v>
      </c>
      <c r="F91" s="9" t="s">
        <v>22</v>
      </c>
      <c r="G91" s="11">
        <v>8654</v>
      </c>
      <c r="H91" s="8">
        <v>51</v>
      </c>
      <c r="I91" s="8">
        <v>3</v>
      </c>
      <c r="J91" s="1" t="s">
        <v>45</v>
      </c>
    </row>
    <row r="92" spans="1:10" ht="13.8" x14ac:dyDescent="0.25">
      <c r="A92" t="s">
        <v>137</v>
      </c>
      <c r="B92" s="8">
        <v>86</v>
      </c>
      <c r="C92" s="9" t="s">
        <v>11</v>
      </c>
      <c r="D92" s="9" t="s">
        <v>21</v>
      </c>
      <c r="E92" s="1">
        <v>45498</v>
      </c>
      <c r="F92" s="9" t="s">
        <v>26</v>
      </c>
      <c r="G92" s="11">
        <v>1766</v>
      </c>
      <c r="H92" s="8">
        <v>76</v>
      </c>
      <c r="I92" s="8">
        <v>0</v>
      </c>
      <c r="J92" s="1" t="s">
        <v>19</v>
      </c>
    </row>
    <row r="93" spans="1:10" ht="13.8" x14ac:dyDescent="0.25">
      <c r="A93" t="s">
        <v>138</v>
      </c>
      <c r="B93" s="8">
        <v>50</v>
      </c>
      <c r="C93" s="9" t="s">
        <v>11</v>
      </c>
      <c r="D93" s="9" t="s">
        <v>12</v>
      </c>
      <c r="E93" s="1">
        <v>44982</v>
      </c>
      <c r="F93" s="9" t="s">
        <v>18</v>
      </c>
      <c r="G93" s="11">
        <v>44373</v>
      </c>
      <c r="H93" s="8">
        <v>94</v>
      </c>
      <c r="I93" s="8">
        <v>1</v>
      </c>
      <c r="J93" s="1" t="s">
        <v>126</v>
      </c>
    </row>
    <row r="94" spans="1:10" ht="13.8" x14ac:dyDescent="0.25">
      <c r="A94" t="s">
        <v>139</v>
      </c>
      <c r="B94" s="8">
        <v>44</v>
      </c>
      <c r="C94" s="9" t="s">
        <v>11</v>
      </c>
      <c r="D94" s="9" t="s">
        <v>12</v>
      </c>
      <c r="E94" s="1">
        <v>45039</v>
      </c>
      <c r="F94" s="9" t="s">
        <v>18</v>
      </c>
      <c r="G94" s="11">
        <v>38238</v>
      </c>
      <c r="H94" s="8">
        <v>95</v>
      </c>
      <c r="I94" s="8">
        <v>5</v>
      </c>
      <c r="J94" s="1" t="s">
        <v>80</v>
      </c>
    </row>
    <row r="95" spans="1:10" ht="13.8" x14ac:dyDescent="0.25">
      <c r="A95" t="s">
        <v>140</v>
      </c>
      <c r="B95" s="8">
        <v>59</v>
      </c>
      <c r="C95" s="9" t="s">
        <v>16</v>
      </c>
      <c r="D95" s="9" t="s">
        <v>17</v>
      </c>
      <c r="E95" s="1">
        <v>45586</v>
      </c>
      <c r="F95" s="9" t="s">
        <v>26</v>
      </c>
      <c r="G95" s="11">
        <v>15801</v>
      </c>
      <c r="H95" s="8">
        <v>85</v>
      </c>
      <c r="I95" s="8">
        <v>2</v>
      </c>
      <c r="J95" s="1" t="s">
        <v>92</v>
      </c>
    </row>
    <row r="96" spans="1:10" ht="13.8" x14ac:dyDescent="0.25">
      <c r="A96" t="s">
        <v>141</v>
      </c>
      <c r="B96" s="8">
        <v>65</v>
      </c>
      <c r="C96" s="9" t="s">
        <v>16</v>
      </c>
      <c r="D96" s="9" t="s">
        <v>52</v>
      </c>
      <c r="E96" s="1">
        <v>45177</v>
      </c>
      <c r="F96" s="9" t="s">
        <v>22</v>
      </c>
      <c r="G96" s="11">
        <v>5309</v>
      </c>
      <c r="H96" s="8">
        <v>82</v>
      </c>
      <c r="I96" s="8">
        <v>3</v>
      </c>
      <c r="J96" s="1" t="s">
        <v>109</v>
      </c>
    </row>
    <row r="97" spans="1:10" ht="13.8" x14ac:dyDescent="0.25">
      <c r="A97" t="s">
        <v>142</v>
      </c>
      <c r="B97" s="8">
        <v>39</v>
      </c>
      <c r="C97" s="9" t="s">
        <v>16</v>
      </c>
      <c r="D97" s="9" t="s">
        <v>25</v>
      </c>
      <c r="E97" s="1">
        <v>45527</v>
      </c>
      <c r="F97" s="9" t="s">
        <v>18</v>
      </c>
      <c r="G97" s="11">
        <v>39635</v>
      </c>
      <c r="H97" s="8">
        <v>60</v>
      </c>
      <c r="I97" s="8">
        <v>4</v>
      </c>
      <c r="J97" s="1" t="s">
        <v>33</v>
      </c>
    </row>
    <row r="98" spans="1:10" ht="13.8" x14ac:dyDescent="0.25">
      <c r="A98" t="s">
        <v>143</v>
      </c>
      <c r="B98" s="8">
        <v>52</v>
      </c>
      <c r="C98" s="9" t="s">
        <v>11</v>
      </c>
      <c r="D98" s="9" t="s">
        <v>62</v>
      </c>
      <c r="E98" s="1">
        <v>45396</v>
      </c>
      <c r="F98" s="9" t="s">
        <v>22</v>
      </c>
      <c r="G98" s="11">
        <v>33847</v>
      </c>
      <c r="H98" s="8">
        <v>40</v>
      </c>
      <c r="I98" s="8">
        <v>3</v>
      </c>
      <c r="J98" s="1" t="s">
        <v>50</v>
      </c>
    </row>
    <row r="99" spans="1:10" ht="13.8" x14ac:dyDescent="0.25">
      <c r="A99" t="s">
        <v>144</v>
      </c>
      <c r="B99" s="8">
        <v>21</v>
      </c>
      <c r="C99" s="9" t="s">
        <v>16</v>
      </c>
      <c r="D99" s="9" t="s">
        <v>62</v>
      </c>
      <c r="E99" s="1">
        <v>45559</v>
      </c>
      <c r="F99" s="9" t="s">
        <v>18</v>
      </c>
      <c r="G99" s="11">
        <v>48610</v>
      </c>
      <c r="H99" s="8">
        <v>66</v>
      </c>
      <c r="I99" s="8">
        <v>3</v>
      </c>
      <c r="J99" s="1" t="s">
        <v>45</v>
      </c>
    </row>
    <row r="100" spans="1:10" ht="13.8" x14ac:dyDescent="0.25">
      <c r="A100" t="s">
        <v>145</v>
      </c>
      <c r="B100" s="8">
        <v>78</v>
      </c>
      <c r="C100" s="9" t="s">
        <v>16</v>
      </c>
      <c r="D100" s="9" t="s">
        <v>62</v>
      </c>
      <c r="E100" s="1">
        <v>45500</v>
      </c>
      <c r="F100" s="9" t="s">
        <v>53</v>
      </c>
      <c r="G100" s="11">
        <v>38468</v>
      </c>
      <c r="H100" s="8">
        <v>53</v>
      </c>
      <c r="I100" s="8">
        <v>2</v>
      </c>
      <c r="J100" s="1" t="s">
        <v>19</v>
      </c>
    </row>
    <row r="101" spans="1:10" ht="13.8" x14ac:dyDescent="0.25">
      <c r="A101" t="s">
        <v>146</v>
      </c>
      <c r="B101" s="8">
        <v>86</v>
      </c>
      <c r="C101" s="9" t="s">
        <v>11</v>
      </c>
      <c r="D101" s="9" t="s">
        <v>12</v>
      </c>
      <c r="E101" s="1">
        <v>45472</v>
      </c>
      <c r="F101" s="9" t="s">
        <v>29</v>
      </c>
      <c r="G101" s="11">
        <v>2358</v>
      </c>
      <c r="H101" s="8">
        <v>92</v>
      </c>
      <c r="I101" s="8">
        <v>0</v>
      </c>
      <c r="J101" s="1" t="s">
        <v>42</v>
      </c>
    </row>
    <row r="102" spans="1:10" ht="13.8" x14ac:dyDescent="0.25">
      <c r="A102" t="s">
        <v>147</v>
      </c>
      <c r="B102" s="8">
        <v>38</v>
      </c>
      <c r="C102" s="9" t="s">
        <v>16</v>
      </c>
      <c r="D102" s="9" t="s">
        <v>21</v>
      </c>
      <c r="E102" s="1">
        <v>45449</v>
      </c>
      <c r="F102" s="9" t="s">
        <v>13</v>
      </c>
      <c r="G102" s="11">
        <v>46541</v>
      </c>
      <c r="H102" s="8">
        <v>64</v>
      </c>
      <c r="I102" s="8">
        <v>0</v>
      </c>
      <c r="J102" s="1" t="s">
        <v>42</v>
      </c>
    </row>
    <row r="103" spans="1:10" ht="13.8" x14ac:dyDescent="0.25">
      <c r="A103" t="s">
        <v>148</v>
      </c>
      <c r="B103" s="8">
        <v>67</v>
      </c>
      <c r="C103" s="9" t="s">
        <v>16</v>
      </c>
      <c r="D103" s="9" t="s">
        <v>52</v>
      </c>
      <c r="E103" s="1">
        <v>45266</v>
      </c>
      <c r="F103" s="9" t="s">
        <v>26</v>
      </c>
      <c r="G103" s="11">
        <v>44018</v>
      </c>
      <c r="H103" s="8">
        <v>88</v>
      </c>
      <c r="I103" s="8">
        <v>3</v>
      </c>
      <c r="J103" s="1" t="s">
        <v>57</v>
      </c>
    </row>
    <row r="104" spans="1:10" ht="13.8" x14ac:dyDescent="0.25">
      <c r="A104" t="s">
        <v>149</v>
      </c>
      <c r="B104" s="8">
        <v>76</v>
      </c>
      <c r="C104" s="9" t="s">
        <v>16</v>
      </c>
      <c r="D104" s="9" t="s">
        <v>62</v>
      </c>
      <c r="E104" s="1">
        <v>44936</v>
      </c>
      <c r="F104" s="9" t="s">
        <v>22</v>
      </c>
      <c r="G104" s="11">
        <v>29890</v>
      </c>
      <c r="H104" s="8">
        <v>45</v>
      </c>
      <c r="I104" s="8">
        <v>1</v>
      </c>
      <c r="J104" s="1" t="s">
        <v>95</v>
      </c>
    </row>
    <row r="105" spans="1:10" ht="13.8" x14ac:dyDescent="0.25">
      <c r="A105" t="s">
        <v>150</v>
      </c>
      <c r="B105" s="8">
        <v>53</v>
      </c>
      <c r="C105" s="9" t="s">
        <v>16</v>
      </c>
      <c r="D105" s="9" t="s">
        <v>21</v>
      </c>
      <c r="E105" s="1">
        <v>45284</v>
      </c>
      <c r="F105" s="9" t="s">
        <v>22</v>
      </c>
      <c r="G105" s="11">
        <v>29664</v>
      </c>
      <c r="H105" s="8">
        <v>51</v>
      </c>
      <c r="I105" s="8">
        <v>3</v>
      </c>
      <c r="J105" s="1" t="s">
        <v>57</v>
      </c>
    </row>
    <row r="106" spans="1:10" ht="13.8" x14ac:dyDescent="0.25">
      <c r="A106" t="s">
        <v>151</v>
      </c>
      <c r="B106" s="8">
        <v>57</v>
      </c>
      <c r="C106" s="9" t="s">
        <v>16</v>
      </c>
      <c r="D106" s="9" t="s">
        <v>62</v>
      </c>
      <c r="E106" s="1">
        <v>45060</v>
      </c>
      <c r="F106" s="9" t="s">
        <v>53</v>
      </c>
      <c r="G106" s="11">
        <v>3494</v>
      </c>
      <c r="H106" s="8">
        <v>93</v>
      </c>
      <c r="I106" s="8">
        <v>5</v>
      </c>
      <c r="J106" s="1" t="s">
        <v>35</v>
      </c>
    </row>
    <row r="107" spans="1:10" ht="13.8" x14ac:dyDescent="0.25">
      <c r="A107" t="s">
        <v>152</v>
      </c>
      <c r="B107" s="8">
        <v>56</v>
      </c>
      <c r="C107" s="9" t="s">
        <v>11</v>
      </c>
      <c r="D107" s="9" t="s">
        <v>12</v>
      </c>
      <c r="E107" s="1">
        <v>45287</v>
      </c>
      <c r="F107" s="9" t="s">
        <v>22</v>
      </c>
      <c r="G107" s="11">
        <v>22376</v>
      </c>
      <c r="H107" s="8">
        <v>62</v>
      </c>
      <c r="I107" s="8">
        <v>3</v>
      </c>
      <c r="J107" s="1" t="s">
        <v>57</v>
      </c>
    </row>
    <row r="108" spans="1:10" ht="13.8" x14ac:dyDescent="0.25">
      <c r="A108" t="s">
        <v>153</v>
      </c>
      <c r="B108" s="8">
        <v>74</v>
      </c>
      <c r="C108" s="9" t="s">
        <v>11</v>
      </c>
      <c r="D108" s="9" t="s">
        <v>12</v>
      </c>
      <c r="E108" s="1">
        <v>45428</v>
      </c>
      <c r="F108" s="9" t="s">
        <v>26</v>
      </c>
      <c r="G108" s="11">
        <v>7821</v>
      </c>
      <c r="H108" s="8">
        <v>45</v>
      </c>
      <c r="I108" s="8">
        <v>1</v>
      </c>
      <c r="J108" s="1" t="s">
        <v>66</v>
      </c>
    </row>
    <row r="109" spans="1:10" ht="13.8" x14ac:dyDescent="0.25">
      <c r="A109" t="s">
        <v>154</v>
      </c>
      <c r="B109" s="8">
        <v>21</v>
      </c>
      <c r="C109" s="9" t="s">
        <v>11</v>
      </c>
      <c r="D109" s="9" t="s">
        <v>52</v>
      </c>
      <c r="E109" s="1">
        <v>45175</v>
      </c>
      <c r="F109" s="9" t="s">
        <v>53</v>
      </c>
      <c r="G109" s="11">
        <v>1865</v>
      </c>
      <c r="H109" s="8">
        <v>49</v>
      </c>
      <c r="I109" s="8">
        <v>1</v>
      </c>
      <c r="J109" s="1" t="s">
        <v>109</v>
      </c>
    </row>
    <row r="110" spans="1:10" ht="13.8" x14ac:dyDescent="0.25">
      <c r="A110" t="s">
        <v>155</v>
      </c>
      <c r="B110" s="8">
        <v>69</v>
      </c>
      <c r="C110" s="9" t="s">
        <v>11</v>
      </c>
      <c r="D110" s="9" t="s">
        <v>21</v>
      </c>
      <c r="E110" s="1">
        <v>45394</v>
      </c>
      <c r="F110" s="9" t="s">
        <v>53</v>
      </c>
      <c r="G110" s="11">
        <v>9399</v>
      </c>
      <c r="H110" s="8">
        <v>81</v>
      </c>
      <c r="I110" s="8">
        <v>1</v>
      </c>
      <c r="J110" s="1" t="s">
        <v>50</v>
      </c>
    </row>
    <row r="111" spans="1:10" ht="13.8" x14ac:dyDescent="0.25">
      <c r="A111" t="s">
        <v>156</v>
      </c>
      <c r="B111" s="8">
        <v>26</v>
      </c>
      <c r="C111" s="9" t="s">
        <v>16</v>
      </c>
      <c r="D111" s="9" t="s">
        <v>62</v>
      </c>
      <c r="E111" s="1">
        <v>45138</v>
      </c>
      <c r="F111" s="9" t="s">
        <v>13</v>
      </c>
      <c r="G111" s="11">
        <v>11310</v>
      </c>
      <c r="H111" s="8">
        <v>87</v>
      </c>
      <c r="I111" s="8">
        <v>0</v>
      </c>
      <c r="J111" s="1" t="s">
        <v>78</v>
      </c>
    </row>
    <row r="112" spans="1:10" ht="13.8" x14ac:dyDescent="0.25">
      <c r="A112" t="s">
        <v>157</v>
      </c>
      <c r="B112" s="8">
        <v>79</v>
      </c>
      <c r="C112" s="9" t="s">
        <v>16</v>
      </c>
      <c r="D112" s="9" t="s">
        <v>12</v>
      </c>
      <c r="E112" s="1">
        <v>45154</v>
      </c>
      <c r="F112" s="9" t="s">
        <v>26</v>
      </c>
      <c r="G112" s="11">
        <v>20920</v>
      </c>
      <c r="H112" s="8">
        <v>56</v>
      </c>
      <c r="I112" s="8">
        <v>3</v>
      </c>
      <c r="J112" s="1" t="s">
        <v>30</v>
      </c>
    </row>
    <row r="113" spans="1:10" ht="13.8" x14ac:dyDescent="0.25">
      <c r="A113" t="s">
        <v>158</v>
      </c>
      <c r="B113" s="8">
        <v>19</v>
      </c>
      <c r="C113" s="9" t="s">
        <v>11</v>
      </c>
      <c r="D113" s="9" t="s">
        <v>52</v>
      </c>
      <c r="E113" s="1">
        <v>44939</v>
      </c>
      <c r="F113" s="9" t="s">
        <v>22</v>
      </c>
      <c r="G113" s="11">
        <v>43057</v>
      </c>
      <c r="H113" s="8">
        <v>80</v>
      </c>
      <c r="I113" s="8">
        <v>2</v>
      </c>
      <c r="J113" s="1" t="s">
        <v>95</v>
      </c>
    </row>
    <row r="114" spans="1:10" ht="13.8" x14ac:dyDescent="0.25">
      <c r="A114" t="s">
        <v>159</v>
      </c>
      <c r="B114" s="8">
        <v>37</v>
      </c>
      <c r="C114" s="9" t="s">
        <v>16</v>
      </c>
      <c r="D114" s="9" t="s">
        <v>52</v>
      </c>
      <c r="E114" s="1">
        <v>44994</v>
      </c>
      <c r="F114" s="9" t="s">
        <v>22</v>
      </c>
      <c r="G114" s="11">
        <v>26325</v>
      </c>
      <c r="H114" s="8">
        <v>96</v>
      </c>
      <c r="I114" s="8">
        <v>5</v>
      </c>
      <c r="J114" s="1" t="s">
        <v>63</v>
      </c>
    </row>
    <row r="115" spans="1:10" ht="13.8" x14ac:dyDescent="0.25">
      <c r="A115" t="s">
        <v>160</v>
      </c>
      <c r="B115" s="8">
        <v>5</v>
      </c>
      <c r="C115" s="9" t="s">
        <v>11</v>
      </c>
      <c r="D115" s="9" t="s">
        <v>52</v>
      </c>
      <c r="E115" s="1">
        <v>45557</v>
      </c>
      <c r="F115" s="9" t="s">
        <v>13</v>
      </c>
      <c r="G115" s="11">
        <v>36192</v>
      </c>
      <c r="H115" s="8">
        <v>53</v>
      </c>
      <c r="I115" s="8">
        <v>3</v>
      </c>
      <c r="J115" s="1" t="s">
        <v>45</v>
      </c>
    </row>
    <row r="116" spans="1:10" ht="13.8" x14ac:dyDescent="0.25">
      <c r="A116" t="s">
        <v>161</v>
      </c>
      <c r="B116" s="8">
        <v>47</v>
      </c>
      <c r="C116" s="9" t="s">
        <v>16</v>
      </c>
      <c r="D116" s="9" t="s">
        <v>12</v>
      </c>
      <c r="E116" s="1">
        <v>45531</v>
      </c>
      <c r="F116" s="9" t="s">
        <v>18</v>
      </c>
      <c r="G116" s="11">
        <v>29701</v>
      </c>
      <c r="H116" s="8">
        <v>44</v>
      </c>
      <c r="I116" s="8">
        <v>3</v>
      </c>
      <c r="J116" s="1" t="s">
        <v>33</v>
      </c>
    </row>
    <row r="117" spans="1:10" ht="13.8" x14ac:dyDescent="0.25">
      <c r="A117" t="s">
        <v>162</v>
      </c>
      <c r="B117" s="8">
        <v>18</v>
      </c>
      <c r="C117" s="9" t="s">
        <v>11</v>
      </c>
      <c r="D117" s="9" t="s">
        <v>21</v>
      </c>
      <c r="E117" s="1">
        <v>45348</v>
      </c>
      <c r="F117" s="9" t="s">
        <v>13</v>
      </c>
      <c r="G117" s="11">
        <v>8180</v>
      </c>
      <c r="H117" s="8">
        <v>65</v>
      </c>
      <c r="I117" s="8">
        <v>0</v>
      </c>
      <c r="J117" s="1" t="s">
        <v>14</v>
      </c>
    </row>
    <row r="118" spans="1:10" ht="13.8" x14ac:dyDescent="0.25">
      <c r="A118" t="s">
        <v>163</v>
      </c>
      <c r="B118" s="8">
        <v>60</v>
      </c>
      <c r="C118" s="9" t="s">
        <v>16</v>
      </c>
      <c r="D118" s="9" t="s">
        <v>12</v>
      </c>
      <c r="E118" s="1">
        <v>45411</v>
      </c>
      <c r="F118" s="9" t="s">
        <v>13</v>
      </c>
      <c r="G118" s="11">
        <v>33368</v>
      </c>
      <c r="H118" s="8">
        <v>41</v>
      </c>
      <c r="I118" s="8">
        <v>4</v>
      </c>
      <c r="J118" s="1" t="s">
        <v>50</v>
      </c>
    </row>
    <row r="119" spans="1:10" ht="13.8" x14ac:dyDescent="0.25">
      <c r="A119" t="s">
        <v>164</v>
      </c>
      <c r="B119" s="8">
        <v>34</v>
      </c>
      <c r="C119" s="9" t="s">
        <v>16</v>
      </c>
      <c r="D119" s="9" t="s">
        <v>17</v>
      </c>
      <c r="E119" s="1">
        <v>45378</v>
      </c>
      <c r="F119" s="9" t="s">
        <v>13</v>
      </c>
      <c r="G119" s="11">
        <v>38416</v>
      </c>
      <c r="H119" s="8">
        <v>74</v>
      </c>
      <c r="I119" s="8">
        <v>5</v>
      </c>
      <c r="J119" s="1" t="s">
        <v>48</v>
      </c>
    </row>
    <row r="120" spans="1:10" ht="13.8" x14ac:dyDescent="0.25">
      <c r="A120" t="s">
        <v>165</v>
      </c>
      <c r="B120" s="8">
        <v>49</v>
      </c>
      <c r="C120" s="9" t="s">
        <v>11</v>
      </c>
      <c r="D120" s="9" t="s">
        <v>21</v>
      </c>
      <c r="E120" s="1">
        <v>45304</v>
      </c>
      <c r="F120" s="9" t="s">
        <v>26</v>
      </c>
      <c r="G120" s="11">
        <v>25158</v>
      </c>
      <c r="H120" s="8">
        <v>74</v>
      </c>
      <c r="I120" s="8">
        <v>4</v>
      </c>
      <c r="J120" s="1" t="s">
        <v>23</v>
      </c>
    </row>
    <row r="121" spans="1:10" ht="13.8" x14ac:dyDescent="0.25">
      <c r="A121" t="s">
        <v>166</v>
      </c>
      <c r="B121" s="8">
        <v>9</v>
      </c>
      <c r="C121" s="9" t="s">
        <v>11</v>
      </c>
      <c r="D121" s="9" t="s">
        <v>25</v>
      </c>
      <c r="E121" s="1">
        <v>45301</v>
      </c>
      <c r="F121" s="9" t="s">
        <v>29</v>
      </c>
      <c r="G121" s="11">
        <v>26282</v>
      </c>
      <c r="H121" s="8">
        <v>77</v>
      </c>
      <c r="I121" s="8">
        <v>3</v>
      </c>
      <c r="J121" s="1" t="s">
        <v>23</v>
      </c>
    </row>
    <row r="122" spans="1:10" ht="13.8" x14ac:dyDescent="0.25">
      <c r="A122" t="s">
        <v>167</v>
      </c>
      <c r="B122" s="8">
        <v>19</v>
      </c>
      <c r="C122" s="9" t="s">
        <v>11</v>
      </c>
      <c r="D122" s="9" t="s">
        <v>52</v>
      </c>
      <c r="E122" s="1">
        <v>45577</v>
      </c>
      <c r="F122" s="9" t="s">
        <v>53</v>
      </c>
      <c r="G122" s="11">
        <v>33084</v>
      </c>
      <c r="H122" s="8">
        <v>42</v>
      </c>
      <c r="I122" s="8">
        <v>0</v>
      </c>
      <c r="J122" s="1" t="s">
        <v>92</v>
      </c>
    </row>
    <row r="123" spans="1:10" ht="13.8" x14ac:dyDescent="0.25">
      <c r="A123" t="s">
        <v>168</v>
      </c>
      <c r="B123" s="8">
        <v>65</v>
      </c>
      <c r="C123" s="9" t="s">
        <v>16</v>
      </c>
      <c r="D123" s="9" t="s">
        <v>21</v>
      </c>
      <c r="E123" s="1">
        <v>45460</v>
      </c>
      <c r="F123" s="9" t="s">
        <v>26</v>
      </c>
      <c r="G123" s="11">
        <v>14724</v>
      </c>
      <c r="H123" s="8">
        <v>41</v>
      </c>
      <c r="I123" s="8">
        <v>5</v>
      </c>
      <c r="J123" s="1" t="s">
        <v>42</v>
      </c>
    </row>
    <row r="124" spans="1:10" ht="13.8" x14ac:dyDescent="0.25">
      <c r="A124" t="s">
        <v>169</v>
      </c>
      <c r="B124" s="8">
        <v>34</v>
      </c>
      <c r="C124" s="9" t="s">
        <v>11</v>
      </c>
      <c r="D124" s="9" t="s">
        <v>52</v>
      </c>
      <c r="E124" s="1">
        <v>45190</v>
      </c>
      <c r="F124" s="9" t="s">
        <v>29</v>
      </c>
      <c r="G124" s="11">
        <v>29045</v>
      </c>
      <c r="H124" s="8">
        <v>77</v>
      </c>
      <c r="I124" s="8">
        <v>0</v>
      </c>
      <c r="J124" s="1" t="s">
        <v>109</v>
      </c>
    </row>
    <row r="125" spans="1:10" ht="13.8" x14ac:dyDescent="0.25">
      <c r="A125" t="s">
        <v>170</v>
      </c>
      <c r="B125" s="8">
        <v>13</v>
      </c>
      <c r="C125" s="9" t="s">
        <v>11</v>
      </c>
      <c r="D125" s="9" t="s">
        <v>25</v>
      </c>
      <c r="E125" s="1">
        <v>45110</v>
      </c>
      <c r="F125" s="9" t="s">
        <v>22</v>
      </c>
      <c r="G125" s="11">
        <v>31685</v>
      </c>
      <c r="H125" s="8">
        <v>85</v>
      </c>
      <c r="I125" s="8">
        <v>3</v>
      </c>
      <c r="J125" s="1" t="s">
        <v>78</v>
      </c>
    </row>
    <row r="126" spans="1:10" ht="13.8" x14ac:dyDescent="0.25">
      <c r="A126" t="s">
        <v>171</v>
      </c>
      <c r="B126" s="8">
        <v>42</v>
      </c>
      <c r="C126" s="9" t="s">
        <v>16</v>
      </c>
      <c r="D126" s="9" t="s">
        <v>62</v>
      </c>
      <c r="E126" s="1">
        <v>45430</v>
      </c>
      <c r="F126" s="9" t="s">
        <v>13</v>
      </c>
      <c r="G126" s="11">
        <v>2643</v>
      </c>
      <c r="H126" s="8">
        <v>66</v>
      </c>
      <c r="I126" s="8">
        <v>1</v>
      </c>
      <c r="J126" s="1" t="s">
        <v>66</v>
      </c>
    </row>
    <row r="127" spans="1:10" ht="13.8" x14ac:dyDescent="0.25">
      <c r="A127" t="s">
        <v>172</v>
      </c>
      <c r="B127" s="8">
        <v>22</v>
      </c>
      <c r="C127" s="9" t="s">
        <v>16</v>
      </c>
      <c r="D127" s="9" t="s">
        <v>17</v>
      </c>
      <c r="E127" s="1">
        <v>45388</v>
      </c>
      <c r="F127" s="9" t="s">
        <v>53</v>
      </c>
      <c r="G127" s="11">
        <v>45940</v>
      </c>
      <c r="H127" s="8">
        <v>88</v>
      </c>
      <c r="I127" s="8">
        <v>4</v>
      </c>
      <c r="J127" s="1" t="s">
        <v>50</v>
      </c>
    </row>
    <row r="128" spans="1:10" ht="13.8" x14ac:dyDescent="0.25">
      <c r="A128" t="s">
        <v>173</v>
      </c>
      <c r="B128" s="8">
        <v>45</v>
      </c>
      <c r="C128" s="9" t="s">
        <v>11</v>
      </c>
      <c r="D128" s="9" t="s">
        <v>52</v>
      </c>
      <c r="E128" s="1">
        <v>45036</v>
      </c>
      <c r="F128" s="9" t="s">
        <v>53</v>
      </c>
      <c r="G128" s="11">
        <v>24568</v>
      </c>
      <c r="H128" s="8">
        <v>71</v>
      </c>
      <c r="I128" s="8">
        <v>5</v>
      </c>
      <c r="J128" s="1" t="s">
        <v>80</v>
      </c>
    </row>
    <row r="129" spans="1:10" ht="13.8" x14ac:dyDescent="0.25">
      <c r="A129" t="s">
        <v>174</v>
      </c>
      <c r="B129" s="8">
        <v>39</v>
      </c>
      <c r="C129" s="9" t="s">
        <v>11</v>
      </c>
      <c r="D129" s="9" t="s">
        <v>62</v>
      </c>
      <c r="E129" s="1">
        <v>45254</v>
      </c>
      <c r="F129" s="9" t="s">
        <v>53</v>
      </c>
      <c r="G129" s="11">
        <v>41905</v>
      </c>
      <c r="H129" s="8">
        <v>100</v>
      </c>
      <c r="I129" s="8">
        <v>1</v>
      </c>
      <c r="J129" s="1" t="s">
        <v>40</v>
      </c>
    </row>
    <row r="130" spans="1:10" ht="13.8" x14ac:dyDescent="0.25">
      <c r="A130" t="s">
        <v>175</v>
      </c>
      <c r="B130" s="8">
        <v>80</v>
      </c>
      <c r="C130" s="9" t="s">
        <v>11</v>
      </c>
      <c r="D130" s="9" t="s">
        <v>52</v>
      </c>
      <c r="E130" s="1">
        <v>45186</v>
      </c>
      <c r="F130" s="9" t="s">
        <v>53</v>
      </c>
      <c r="G130" s="11">
        <v>41918</v>
      </c>
      <c r="H130" s="8">
        <v>49</v>
      </c>
      <c r="I130" s="8">
        <v>5</v>
      </c>
      <c r="J130" s="1" t="s">
        <v>109</v>
      </c>
    </row>
    <row r="131" spans="1:10" ht="13.8" x14ac:dyDescent="0.25">
      <c r="A131" t="s">
        <v>176</v>
      </c>
      <c r="B131" s="8">
        <v>20</v>
      </c>
      <c r="C131" s="9" t="s">
        <v>16</v>
      </c>
      <c r="D131" s="9" t="s">
        <v>25</v>
      </c>
      <c r="E131" s="1">
        <v>45055</v>
      </c>
      <c r="F131" s="9" t="s">
        <v>53</v>
      </c>
      <c r="G131" s="11">
        <v>22901</v>
      </c>
      <c r="H131" s="8">
        <v>99</v>
      </c>
      <c r="I131" s="8">
        <v>3</v>
      </c>
      <c r="J131" s="1" t="s">
        <v>35</v>
      </c>
    </row>
    <row r="132" spans="1:10" ht="13.8" x14ac:dyDescent="0.25">
      <c r="A132" t="s">
        <v>177</v>
      </c>
      <c r="B132" s="8">
        <v>84</v>
      </c>
      <c r="C132" s="9" t="s">
        <v>16</v>
      </c>
      <c r="D132" s="9" t="s">
        <v>62</v>
      </c>
      <c r="E132" s="1">
        <v>45046</v>
      </c>
      <c r="F132" s="9" t="s">
        <v>18</v>
      </c>
      <c r="G132" s="11">
        <v>46723</v>
      </c>
      <c r="H132" s="8">
        <v>57</v>
      </c>
      <c r="I132" s="8">
        <v>4</v>
      </c>
      <c r="J132" s="1" t="s">
        <v>80</v>
      </c>
    </row>
    <row r="133" spans="1:10" ht="13.8" x14ac:dyDescent="0.25">
      <c r="A133" t="s">
        <v>178</v>
      </c>
      <c r="B133" s="8">
        <v>40</v>
      </c>
      <c r="C133" s="9" t="s">
        <v>16</v>
      </c>
      <c r="D133" s="9" t="s">
        <v>52</v>
      </c>
      <c r="E133" s="1">
        <v>45595</v>
      </c>
      <c r="F133" s="9" t="s">
        <v>18</v>
      </c>
      <c r="G133" s="11">
        <v>25826</v>
      </c>
      <c r="H133" s="8">
        <v>55</v>
      </c>
      <c r="I133" s="8">
        <v>1</v>
      </c>
      <c r="J133" s="1" t="s">
        <v>92</v>
      </c>
    </row>
    <row r="134" spans="1:10" ht="13.8" x14ac:dyDescent="0.25">
      <c r="A134" t="s">
        <v>179</v>
      </c>
      <c r="B134" s="8">
        <v>9</v>
      </c>
      <c r="C134" s="9" t="s">
        <v>16</v>
      </c>
      <c r="D134" s="9" t="s">
        <v>62</v>
      </c>
      <c r="E134" s="1">
        <v>45406</v>
      </c>
      <c r="F134" s="9" t="s">
        <v>18</v>
      </c>
      <c r="G134" s="11">
        <v>11052</v>
      </c>
      <c r="H134" s="8">
        <v>84</v>
      </c>
      <c r="I134" s="8">
        <v>4</v>
      </c>
      <c r="J134" s="1" t="s">
        <v>50</v>
      </c>
    </row>
    <row r="135" spans="1:10" ht="13.8" x14ac:dyDescent="0.25">
      <c r="A135" t="s">
        <v>180</v>
      </c>
      <c r="B135" s="8">
        <v>72</v>
      </c>
      <c r="C135" s="9" t="s">
        <v>11</v>
      </c>
      <c r="D135" s="9" t="s">
        <v>12</v>
      </c>
      <c r="E135" s="1">
        <v>44974</v>
      </c>
      <c r="F135" s="9" t="s">
        <v>13</v>
      </c>
      <c r="G135" s="11">
        <v>44649</v>
      </c>
      <c r="H135" s="8">
        <v>60</v>
      </c>
      <c r="I135" s="8">
        <v>5</v>
      </c>
      <c r="J135" s="1" t="s">
        <v>126</v>
      </c>
    </row>
    <row r="136" spans="1:10" ht="13.8" x14ac:dyDescent="0.25">
      <c r="A136" t="s">
        <v>181</v>
      </c>
      <c r="B136" s="8">
        <v>68</v>
      </c>
      <c r="C136" s="9" t="s">
        <v>11</v>
      </c>
      <c r="D136" s="9" t="s">
        <v>62</v>
      </c>
      <c r="E136" s="1">
        <v>45078</v>
      </c>
      <c r="F136" s="9" t="s">
        <v>18</v>
      </c>
      <c r="G136" s="11">
        <v>46493</v>
      </c>
      <c r="H136" s="8">
        <v>87</v>
      </c>
      <c r="I136" s="8">
        <v>1</v>
      </c>
      <c r="J136" s="1" t="s">
        <v>38</v>
      </c>
    </row>
    <row r="137" spans="1:10" ht="13.8" x14ac:dyDescent="0.25">
      <c r="A137" t="s">
        <v>182</v>
      </c>
      <c r="B137" s="8">
        <v>24</v>
      </c>
      <c r="C137" s="9" t="s">
        <v>11</v>
      </c>
      <c r="D137" s="9" t="s">
        <v>52</v>
      </c>
      <c r="E137" s="1">
        <v>45620</v>
      </c>
      <c r="F137" s="9" t="s">
        <v>18</v>
      </c>
      <c r="G137" s="11">
        <v>21118</v>
      </c>
      <c r="H137" s="8">
        <v>67</v>
      </c>
      <c r="I137" s="8">
        <v>5</v>
      </c>
      <c r="J137" s="1" t="s">
        <v>54</v>
      </c>
    </row>
    <row r="138" spans="1:10" ht="13.8" x14ac:dyDescent="0.25">
      <c r="A138" t="s">
        <v>183</v>
      </c>
      <c r="B138" s="8">
        <v>53</v>
      </c>
      <c r="C138" s="9" t="s">
        <v>16</v>
      </c>
      <c r="D138" s="9" t="s">
        <v>21</v>
      </c>
      <c r="E138" s="1">
        <v>44974</v>
      </c>
      <c r="F138" s="9" t="s">
        <v>29</v>
      </c>
      <c r="G138" s="11">
        <v>28372</v>
      </c>
      <c r="H138" s="8">
        <v>66</v>
      </c>
      <c r="I138" s="8">
        <v>2</v>
      </c>
      <c r="J138" s="1" t="s">
        <v>126</v>
      </c>
    </row>
    <row r="139" spans="1:10" ht="13.8" x14ac:dyDescent="0.25">
      <c r="A139" t="s">
        <v>184</v>
      </c>
      <c r="B139" s="8">
        <v>70</v>
      </c>
      <c r="C139" s="9" t="s">
        <v>16</v>
      </c>
      <c r="D139" s="9" t="s">
        <v>12</v>
      </c>
      <c r="E139" s="1">
        <v>45273</v>
      </c>
      <c r="F139" s="9" t="s">
        <v>26</v>
      </c>
      <c r="G139" s="11">
        <v>31172</v>
      </c>
      <c r="H139" s="8">
        <v>51</v>
      </c>
      <c r="I139" s="8">
        <v>5</v>
      </c>
      <c r="J139" s="1" t="s">
        <v>57</v>
      </c>
    </row>
    <row r="140" spans="1:10" ht="13.8" x14ac:dyDescent="0.25">
      <c r="A140" t="s">
        <v>185</v>
      </c>
      <c r="B140" s="8">
        <v>84</v>
      </c>
      <c r="C140" s="9" t="s">
        <v>16</v>
      </c>
      <c r="D140" s="9" t="s">
        <v>25</v>
      </c>
      <c r="E140" s="1">
        <v>45620</v>
      </c>
      <c r="F140" s="9" t="s">
        <v>26</v>
      </c>
      <c r="G140" s="11">
        <v>48016</v>
      </c>
      <c r="H140" s="8">
        <v>66</v>
      </c>
      <c r="I140" s="8">
        <v>1</v>
      </c>
      <c r="J140" s="1" t="s">
        <v>54</v>
      </c>
    </row>
    <row r="141" spans="1:10" ht="13.8" x14ac:dyDescent="0.25">
      <c r="A141" t="s">
        <v>186</v>
      </c>
      <c r="B141" s="8">
        <v>15</v>
      </c>
      <c r="C141" s="9" t="s">
        <v>16</v>
      </c>
      <c r="D141" s="9" t="s">
        <v>25</v>
      </c>
      <c r="E141" s="1">
        <v>45325</v>
      </c>
      <c r="F141" s="9" t="s">
        <v>29</v>
      </c>
      <c r="G141" s="11">
        <v>13762</v>
      </c>
      <c r="H141" s="8">
        <v>98</v>
      </c>
      <c r="I141" s="8">
        <v>5</v>
      </c>
      <c r="J141" s="1" t="s">
        <v>14</v>
      </c>
    </row>
    <row r="142" spans="1:10" ht="13.8" x14ac:dyDescent="0.25">
      <c r="A142" t="s">
        <v>187</v>
      </c>
      <c r="B142" s="8">
        <v>26</v>
      </c>
      <c r="C142" s="9" t="s">
        <v>16</v>
      </c>
      <c r="D142" s="9" t="s">
        <v>62</v>
      </c>
      <c r="E142" s="1">
        <v>45453</v>
      </c>
      <c r="F142" s="9" t="s">
        <v>53</v>
      </c>
      <c r="G142" s="11">
        <v>15775</v>
      </c>
      <c r="H142" s="8">
        <v>64</v>
      </c>
      <c r="I142" s="8">
        <v>0</v>
      </c>
      <c r="J142" s="1" t="s">
        <v>42</v>
      </c>
    </row>
    <row r="143" spans="1:10" ht="13.8" x14ac:dyDescent="0.25">
      <c r="A143" t="s">
        <v>188</v>
      </c>
      <c r="B143" s="8">
        <v>49</v>
      </c>
      <c r="C143" s="9" t="s">
        <v>16</v>
      </c>
      <c r="D143" s="9" t="s">
        <v>21</v>
      </c>
      <c r="E143" s="1">
        <v>45593</v>
      </c>
      <c r="F143" s="9" t="s">
        <v>22</v>
      </c>
      <c r="G143" s="11">
        <v>16759</v>
      </c>
      <c r="H143" s="8">
        <v>75</v>
      </c>
      <c r="I143" s="8">
        <v>2</v>
      </c>
      <c r="J143" s="1" t="s">
        <v>92</v>
      </c>
    </row>
    <row r="144" spans="1:10" ht="13.8" x14ac:dyDescent="0.25">
      <c r="A144" t="s">
        <v>189</v>
      </c>
      <c r="B144" s="8">
        <v>74</v>
      </c>
      <c r="C144" s="9" t="s">
        <v>16</v>
      </c>
      <c r="D144" s="9" t="s">
        <v>25</v>
      </c>
      <c r="E144" s="1">
        <v>45618</v>
      </c>
      <c r="F144" s="9" t="s">
        <v>53</v>
      </c>
      <c r="G144" s="11">
        <v>32442</v>
      </c>
      <c r="H144" s="8">
        <v>68</v>
      </c>
      <c r="I144" s="8">
        <v>2</v>
      </c>
      <c r="J144" s="1" t="s">
        <v>54</v>
      </c>
    </row>
    <row r="145" spans="1:10" ht="13.8" x14ac:dyDescent="0.25">
      <c r="A145" t="s">
        <v>190</v>
      </c>
      <c r="B145" s="8">
        <v>52</v>
      </c>
      <c r="C145" s="9" t="s">
        <v>11</v>
      </c>
      <c r="D145" s="9" t="s">
        <v>21</v>
      </c>
      <c r="E145" s="1">
        <v>45558</v>
      </c>
      <c r="F145" s="9" t="s">
        <v>22</v>
      </c>
      <c r="G145" s="11">
        <v>48740</v>
      </c>
      <c r="H145" s="8">
        <v>73</v>
      </c>
      <c r="I145" s="8">
        <v>3</v>
      </c>
      <c r="J145" s="1" t="s">
        <v>45</v>
      </c>
    </row>
    <row r="146" spans="1:10" ht="13.8" x14ac:dyDescent="0.25">
      <c r="A146" t="s">
        <v>191</v>
      </c>
      <c r="B146" s="8">
        <v>7</v>
      </c>
      <c r="C146" s="9" t="s">
        <v>16</v>
      </c>
      <c r="D146" s="9" t="s">
        <v>21</v>
      </c>
      <c r="E146" s="1">
        <v>45350</v>
      </c>
      <c r="F146" s="9" t="s">
        <v>13</v>
      </c>
      <c r="G146" s="11">
        <v>49646</v>
      </c>
      <c r="H146" s="8">
        <v>59</v>
      </c>
      <c r="I146" s="8">
        <v>2</v>
      </c>
      <c r="J146" s="1" t="s">
        <v>14</v>
      </c>
    </row>
    <row r="147" spans="1:10" ht="13.8" x14ac:dyDescent="0.25">
      <c r="A147" t="s">
        <v>192</v>
      </c>
      <c r="B147" s="8">
        <v>33</v>
      </c>
      <c r="C147" s="9" t="s">
        <v>16</v>
      </c>
      <c r="D147" s="9" t="s">
        <v>25</v>
      </c>
      <c r="E147" s="1">
        <v>45550</v>
      </c>
      <c r="F147" s="9" t="s">
        <v>53</v>
      </c>
      <c r="G147" s="11">
        <v>32669</v>
      </c>
      <c r="H147" s="8">
        <v>77</v>
      </c>
      <c r="I147" s="8">
        <v>2</v>
      </c>
      <c r="J147" s="1" t="s">
        <v>45</v>
      </c>
    </row>
    <row r="148" spans="1:10" ht="13.8" x14ac:dyDescent="0.25">
      <c r="A148" t="s">
        <v>193</v>
      </c>
      <c r="B148" s="8">
        <v>52</v>
      </c>
      <c r="C148" s="9" t="s">
        <v>11</v>
      </c>
      <c r="D148" s="9" t="s">
        <v>25</v>
      </c>
      <c r="E148" s="1">
        <v>45143</v>
      </c>
      <c r="F148" s="9" t="s">
        <v>29</v>
      </c>
      <c r="G148" s="11">
        <v>5508</v>
      </c>
      <c r="H148" s="8">
        <v>62</v>
      </c>
      <c r="I148" s="8">
        <v>2</v>
      </c>
      <c r="J148" s="1" t="s">
        <v>30</v>
      </c>
    </row>
    <row r="149" spans="1:10" ht="13.8" x14ac:dyDescent="0.25">
      <c r="A149" t="s">
        <v>194</v>
      </c>
      <c r="B149" s="8">
        <v>75</v>
      </c>
      <c r="C149" s="9" t="s">
        <v>11</v>
      </c>
      <c r="D149" s="9" t="s">
        <v>52</v>
      </c>
      <c r="E149" s="1">
        <v>45218</v>
      </c>
      <c r="F149" s="9" t="s">
        <v>22</v>
      </c>
      <c r="G149" s="11">
        <v>30659</v>
      </c>
      <c r="H149" s="8">
        <v>95</v>
      </c>
      <c r="I149" s="8">
        <v>4</v>
      </c>
      <c r="J149" s="1" t="s">
        <v>27</v>
      </c>
    </row>
    <row r="150" spans="1:10" ht="13.8" x14ac:dyDescent="0.25">
      <c r="A150" t="s">
        <v>195</v>
      </c>
      <c r="B150" s="8">
        <v>60</v>
      </c>
      <c r="C150" s="9" t="s">
        <v>11</v>
      </c>
      <c r="D150" s="9" t="s">
        <v>21</v>
      </c>
      <c r="E150" s="1">
        <v>45176</v>
      </c>
      <c r="F150" s="9" t="s">
        <v>26</v>
      </c>
      <c r="G150" s="11">
        <v>43235</v>
      </c>
      <c r="H150" s="8">
        <v>84</v>
      </c>
      <c r="I150" s="8">
        <v>0</v>
      </c>
      <c r="J150" s="1" t="s">
        <v>109</v>
      </c>
    </row>
    <row r="151" spans="1:10" ht="13.8" x14ac:dyDescent="0.25">
      <c r="A151" t="s">
        <v>196</v>
      </c>
      <c r="B151" s="8">
        <v>60</v>
      </c>
      <c r="C151" s="9" t="s">
        <v>16</v>
      </c>
      <c r="D151" s="9" t="s">
        <v>52</v>
      </c>
      <c r="E151" s="1">
        <v>45061</v>
      </c>
      <c r="F151" s="9" t="s">
        <v>22</v>
      </c>
      <c r="G151" s="11">
        <v>33055</v>
      </c>
      <c r="H151" s="8">
        <v>88</v>
      </c>
      <c r="I151" s="8">
        <v>1</v>
      </c>
      <c r="J151" s="1" t="s">
        <v>35</v>
      </c>
    </row>
    <row r="152" spans="1:10" ht="13.8" x14ac:dyDescent="0.25">
      <c r="A152" t="s">
        <v>197</v>
      </c>
      <c r="B152" s="8">
        <v>68</v>
      </c>
      <c r="C152" s="9" t="s">
        <v>16</v>
      </c>
      <c r="D152" s="9" t="s">
        <v>62</v>
      </c>
      <c r="E152" s="1">
        <v>45445</v>
      </c>
      <c r="F152" s="9" t="s">
        <v>53</v>
      </c>
      <c r="G152" s="11">
        <v>2509</v>
      </c>
      <c r="H152" s="8">
        <v>41</v>
      </c>
      <c r="I152" s="8">
        <v>3</v>
      </c>
      <c r="J152" s="1" t="s">
        <v>42</v>
      </c>
    </row>
    <row r="153" spans="1:10" ht="13.8" x14ac:dyDescent="0.25">
      <c r="A153" t="s">
        <v>198</v>
      </c>
      <c r="B153" s="8">
        <v>16</v>
      </c>
      <c r="C153" s="9" t="s">
        <v>16</v>
      </c>
      <c r="D153" s="9" t="s">
        <v>12</v>
      </c>
      <c r="E153" s="1">
        <v>45533</v>
      </c>
      <c r="F153" s="9" t="s">
        <v>29</v>
      </c>
      <c r="G153" s="11">
        <v>33571</v>
      </c>
      <c r="H153" s="8">
        <v>99</v>
      </c>
      <c r="I153" s="8">
        <v>0</v>
      </c>
      <c r="J153" s="1" t="s">
        <v>33</v>
      </c>
    </row>
    <row r="154" spans="1:10" ht="13.8" x14ac:dyDescent="0.25">
      <c r="A154" t="s">
        <v>199</v>
      </c>
      <c r="B154" s="8">
        <v>25</v>
      </c>
      <c r="C154" s="9" t="s">
        <v>11</v>
      </c>
      <c r="D154" s="9" t="s">
        <v>21</v>
      </c>
      <c r="E154" s="1">
        <v>45376</v>
      </c>
      <c r="F154" s="9" t="s">
        <v>22</v>
      </c>
      <c r="G154" s="11">
        <v>31374</v>
      </c>
      <c r="H154" s="8">
        <v>56</v>
      </c>
      <c r="I154" s="8">
        <v>3</v>
      </c>
      <c r="J154" s="1" t="s">
        <v>48</v>
      </c>
    </row>
    <row r="155" spans="1:10" ht="13.8" x14ac:dyDescent="0.25">
      <c r="A155" t="s">
        <v>200</v>
      </c>
      <c r="B155" s="8">
        <v>8</v>
      </c>
      <c r="C155" s="9" t="s">
        <v>16</v>
      </c>
      <c r="D155" s="9" t="s">
        <v>12</v>
      </c>
      <c r="E155" s="1">
        <v>45231</v>
      </c>
      <c r="F155" s="9" t="s">
        <v>18</v>
      </c>
      <c r="G155" s="11">
        <v>48081</v>
      </c>
      <c r="H155" s="8">
        <v>77</v>
      </c>
      <c r="I155" s="8">
        <v>2</v>
      </c>
      <c r="J155" s="1" t="s">
        <v>40</v>
      </c>
    </row>
    <row r="156" spans="1:10" ht="13.8" x14ac:dyDescent="0.25">
      <c r="A156" t="s">
        <v>201</v>
      </c>
      <c r="B156" s="8">
        <v>68</v>
      </c>
      <c r="C156" s="9" t="s">
        <v>16</v>
      </c>
      <c r="D156" s="9" t="s">
        <v>12</v>
      </c>
      <c r="E156" s="1">
        <v>45273</v>
      </c>
      <c r="F156" s="9" t="s">
        <v>26</v>
      </c>
      <c r="G156" s="11">
        <v>23310</v>
      </c>
      <c r="H156" s="8">
        <v>98</v>
      </c>
      <c r="I156" s="8">
        <v>4</v>
      </c>
      <c r="J156" s="1" t="s">
        <v>57</v>
      </c>
    </row>
    <row r="157" spans="1:10" ht="13.8" x14ac:dyDescent="0.25">
      <c r="A157" t="s">
        <v>202</v>
      </c>
      <c r="B157" s="8">
        <v>62</v>
      </c>
      <c r="C157" s="9" t="s">
        <v>11</v>
      </c>
      <c r="D157" s="9" t="s">
        <v>25</v>
      </c>
      <c r="E157" s="1">
        <v>45623</v>
      </c>
      <c r="F157" s="9" t="s">
        <v>13</v>
      </c>
      <c r="G157" s="11">
        <v>42067</v>
      </c>
      <c r="H157" s="8">
        <v>81</v>
      </c>
      <c r="I157" s="8">
        <v>3</v>
      </c>
      <c r="J157" s="1" t="s">
        <v>54</v>
      </c>
    </row>
    <row r="158" spans="1:10" ht="13.8" x14ac:dyDescent="0.25">
      <c r="A158" t="s">
        <v>203</v>
      </c>
      <c r="B158" s="8">
        <v>49</v>
      </c>
      <c r="C158" s="9" t="s">
        <v>16</v>
      </c>
      <c r="D158" s="9" t="s">
        <v>52</v>
      </c>
      <c r="E158" s="1">
        <v>45187</v>
      </c>
      <c r="F158" s="9" t="s">
        <v>26</v>
      </c>
      <c r="G158" s="11">
        <v>30074</v>
      </c>
      <c r="H158" s="8">
        <v>78</v>
      </c>
      <c r="I158" s="8">
        <v>5</v>
      </c>
      <c r="J158" s="1" t="s">
        <v>109</v>
      </c>
    </row>
    <row r="159" spans="1:10" ht="13.8" x14ac:dyDescent="0.25">
      <c r="A159" t="s">
        <v>204</v>
      </c>
      <c r="B159" s="8">
        <v>40</v>
      </c>
      <c r="C159" s="9" t="s">
        <v>11</v>
      </c>
      <c r="D159" s="9" t="s">
        <v>52</v>
      </c>
      <c r="E159" s="1">
        <v>45249</v>
      </c>
      <c r="F159" s="9" t="s">
        <v>26</v>
      </c>
      <c r="G159" s="11">
        <v>20465</v>
      </c>
      <c r="H159" s="8">
        <v>57</v>
      </c>
      <c r="I159" s="8">
        <v>5</v>
      </c>
      <c r="J159" s="1" t="s">
        <v>40</v>
      </c>
    </row>
    <row r="160" spans="1:10" ht="13.8" x14ac:dyDescent="0.25">
      <c r="A160" t="s">
        <v>205</v>
      </c>
      <c r="B160" s="8">
        <v>22</v>
      </c>
      <c r="C160" s="9" t="s">
        <v>16</v>
      </c>
      <c r="D160" s="9" t="s">
        <v>17</v>
      </c>
      <c r="E160" s="1">
        <v>45381</v>
      </c>
      <c r="F160" s="9" t="s">
        <v>18</v>
      </c>
      <c r="G160" s="11">
        <v>14157</v>
      </c>
      <c r="H160" s="8">
        <v>58</v>
      </c>
      <c r="I160" s="8">
        <v>2</v>
      </c>
      <c r="J160" s="1" t="s">
        <v>48</v>
      </c>
    </row>
    <row r="161" spans="1:10" ht="13.8" x14ac:dyDescent="0.25">
      <c r="A161" t="s">
        <v>206</v>
      </c>
      <c r="B161" s="8">
        <v>25</v>
      </c>
      <c r="C161" s="9" t="s">
        <v>11</v>
      </c>
      <c r="D161" s="9" t="s">
        <v>12</v>
      </c>
      <c r="E161" s="1">
        <v>45318</v>
      </c>
      <c r="F161" s="9" t="s">
        <v>29</v>
      </c>
      <c r="G161" s="11">
        <v>21976</v>
      </c>
      <c r="H161" s="8">
        <v>46</v>
      </c>
      <c r="I161" s="8">
        <v>5</v>
      </c>
      <c r="J161" s="1" t="s">
        <v>23</v>
      </c>
    </row>
    <row r="162" spans="1:10" ht="13.8" x14ac:dyDescent="0.25">
      <c r="A162" t="s">
        <v>207</v>
      </c>
      <c r="B162" s="8">
        <v>39</v>
      </c>
      <c r="C162" s="9" t="s">
        <v>11</v>
      </c>
      <c r="D162" s="9" t="s">
        <v>52</v>
      </c>
      <c r="E162" s="1">
        <v>45395</v>
      </c>
      <c r="F162" s="9" t="s">
        <v>22</v>
      </c>
      <c r="G162" s="11">
        <v>18527</v>
      </c>
      <c r="H162" s="8">
        <v>76</v>
      </c>
      <c r="I162" s="8">
        <v>0</v>
      </c>
      <c r="J162" s="1" t="s">
        <v>50</v>
      </c>
    </row>
    <row r="163" spans="1:10" ht="13.8" x14ac:dyDescent="0.25">
      <c r="A163" t="s">
        <v>208</v>
      </c>
      <c r="B163" s="8">
        <v>22</v>
      </c>
      <c r="C163" s="9" t="s">
        <v>16</v>
      </c>
      <c r="D163" s="9" t="s">
        <v>17</v>
      </c>
      <c r="E163" s="1">
        <v>44956</v>
      </c>
      <c r="F163" s="9" t="s">
        <v>53</v>
      </c>
      <c r="G163" s="11">
        <v>31145</v>
      </c>
      <c r="H163" s="8">
        <v>91</v>
      </c>
      <c r="I163" s="8">
        <v>5</v>
      </c>
      <c r="J163" s="1" t="s">
        <v>95</v>
      </c>
    </row>
    <row r="164" spans="1:10" ht="13.8" x14ac:dyDescent="0.25">
      <c r="A164" t="s">
        <v>209</v>
      </c>
      <c r="B164" s="8">
        <v>37</v>
      </c>
      <c r="C164" s="9" t="s">
        <v>16</v>
      </c>
      <c r="D164" s="9" t="s">
        <v>21</v>
      </c>
      <c r="E164" s="1">
        <v>45030</v>
      </c>
      <c r="F164" s="9" t="s">
        <v>22</v>
      </c>
      <c r="G164" s="11">
        <v>46545</v>
      </c>
      <c r="H164" s="8">
        <v>82</v>
      </c>
      <c r="I164" s="8">
        <v>5</v>
      </c>
      <c r="J164" s="1" t="s">
        <v>80</v>
      </c>
    </row>
    <row r="165" spans="1:10" ht="13.8" x14ac:dyDescent="0.25">
      <c r="A165" t="s">
        <v>210</v>
      </c>
      <c r="B165" s="8">
        <v>40</v>
      </c>
      <c r="C165" s="9" t="s">
        <v>11</v>
      </c>
      <c r="D165" s="9" t="s">
        <v>62</v>
      </c>
      <c r="E165" s="1">
        <v>45042</v>
      </c>
      <c r="F165" s="9" t="s">
        <v>22</v>
      </c>
      <c r="G165" s="11">
        <v>46588</v>
      </c>
      <c r="H165" s="8">
        <v>51</v>
      </c>
      <c r="I165" s="8">
        <v>0</v>
      </c>
      <c r="J165" s="1" t="s">
        <v>80</v>
      </c>
    </row>
    <row r="166" spans="1:10" ht="13.8" x14ac:dyDescent="0.25">
      <c r="A166" t="s">
        <v>211</v>
      </c>
      <c r="B166" s="8">
        <v>62</v>
      </c>
      <c r="C166" s="9" t="s">
        <v>11</v>
      </c>
      <c r="D166" s="9" t="s">
        <v>25</v>
      </c>
      <c r="E166" s="1">
        <v>45548</v>
      </c>
      <c r="F166" s="9" t="s">
        <v>26</v>
      </c>
      <c r="G166" s="11">
        <v>43484</v>
      </c>
      <c r="H166" s="8">
        <v>64</v>
      </c>
      <c r="I166" s="8">
        <v>1</v>
      </c>
      <c r="J166" s="1" t="s">
        <v>45</v>
      </c>
    </row>
    <row r="167" spans="1:10" ht="13.8" x14ac:dyDescent="0.25">
      <c r="A167" t="s">
        <v>212</v>
      </c>
      <c r="B167" s="8">
        <v>84</v>
      </c>
      <c r="C167" s="9" t="s">
        <v>11</v>
      </c>
      <c r="D167" s="9" t="s">
        <v>17</v>
      </c>
      <c r="E167" s="1">
        <v>45254</v>
      </c>
      <c r="F167" s="9" t="s">
        <v>53</v>
      </c>
      <c r="G167" s="11">
        <v>42412</v>
      </c>
      <c r="H167" s="8">
        <v>72</v>
      </c>
      <c r="I167" s="8">
        <v>3</v>
      </c>
      <c r="J167" s="1" t="s">
        <v>40</v>
      </c>
    </row>
    <row r="168" spans="1:10" ht="13.8" x14ac:dyDescent="0.25">
      <c r="A168" t="s">
        <v>213</v>
      </c>
      <c r="B168" s="8">
        <v>47</v>
      </c>
      <c r="C168" s="9" t="s">
        <v>11</v>
      </c>
      <c r="D168" s="9" t="s">
        <v>21</v>
      </c>
      <c r="E168" s="1">
        <v>45506</v>
      </c>
      <c r="F168" s="9" t="s">
        <v>13</v>
      </c>
      <c r="G168" s="11">
        <v>23208</v>
      </c>
      <c r="H168" s="8">
        <v>68</v>
      </c>
      <c r="I168" s="8">
        <v>5</v>
      </c>
      <c r="J168" s="1" t="s">
        <v>33</v>
      </c>
    </row>
    <row r="169" spans="1:10" ht="13.8" x14ac:dyDescent="0.25">
      <c r="A169" t="s">
        <v>214</v>
      </c>
      <c r="B169" s="8">
        <v>75</v>
      </c>
      <c r="C169" s="9" t="s">
        <v>16</v>
      </c>
      <c r="D169" s="9" t="s">
        <v>25</v>
      </c>
      <c r="E169" s="1">
        <v>45358</v>
      </c>
      <c r="F169" s="9" t="s">
        <v>22</v>
      </c>
      <c r="G169" s="11">
        <v>36108</v>
      </c>
      <c r="H169" s="8">
        <v>55</v>
      </c>
      <c r="I169" s="8">
        <v>3</v>
      </c>
      <c r="J169" s="1" t="s">
        <v>48</v>
      </c>
    </row>
    <row r="170" spans="1:10" ht="13.8" x14ac:dyDescent="0.25">
      <c r="A170" t="s">
        <v>215</v>
      </c>
      <c r="B170" s="8">
        <v>29</v>
      </c>
      <c r="C170" s="9" t="s">
        <v>11</v>
      </c>
      <c r="D170" s="9" t="s">
        <v>62</v>
      </c>
      <c r="E170" s="1">
        <v>45321</v>
      </c>
      <c r="F170" s="9" t="s">
        <v>18</v>
      </c>
      <c r="G170" s="11">
        <v>11512</v>
      </c>
      <c r="H170" s="8">
        <v>64</v>
      </c>
      <c r="I170" s="8">
        <v>2</v>
      </c>
      <c r="J170" s="1" t="s">
        <v>23</v>
      </c>
    </row>
    <row r="171" spans="1:10" ht="13.8" x14ac:dyDescent="0.25">
      <c r="A171" t="s">
        <v>216</v>
      </c>
      <c r="B171" s="8">
        <v>12</v>
      </c>
      <c r="C171" s="9" t="s">
        <v>16</v>
      </c>
      <c r="D171" s="9" t="s">
        <v>12</v>
      </c>
      <c r="E171" s="1">
        <v>45541</v>
      </c>
      <c r="F171" s="9" t="s">
        <v>29</v>
      </c>
      <c r="G171" s="11">
        <v>36694</v>
      </c>
      <c r="H171" s="8">
        <v>56</v>
      </c>
      <c r="I171" s="8">
        <v>3</v>
      </c>
      <c r="J171" s="1" t="s">
        <v>45</v>
      </c>
    </row>
    <row r="172" spans="1:10" ht="13.8" x14ac:dyDescent="0.25">
      <c r="A172" t="s">
        <v>217</v>
      </c>
      <c r="B172" s="8">
        <v>28</v>
      </c>
      <c r="C172" s="9" t="s">
        <v>11</v>
      </c>
      <c r="D172" s="9" t="s">
        <v>52</v>
      </c>
      <c r="E172" s="1">
        <v>45123</v>
      </c>
      <c r="F172" s="9" t="s">
        <v>29</v>
      </c>
      <c r="G172" s="11">
        <v>33068</v>
      </c>
      <c r="H172" s="8">
        <v>82</v>
      </c>
      <c r="I172" s="8">
        <v>4</v>
      </c>
      <c r="J172" s="1" t="s">
        <v>78</v>
      </c>
    </row>
    <row r="173" spans="1:10" ht="13.8" x14ac:dyDescent="0.25">
      <c r="A173" t="s">
        <v>218</v>
      </c>
      <c r="B173" s="8">
        <v>72</v>
      </c>
      <c r="C173" s="9" t="s">
        <v>16</v>
      </c>
      <c r="D173" s="9" t="s">
        <v>21</v>
      </c>
      <c r="E173" s="1">
        <v>45322</v>
      </c>
      <c r="F173" s="9" t="s">
        <v>53</v>
      </c>
      <c r="G173" s="11">
        <v>7624</v>
      </c>
      <c r="H173" s="8">
        <v>87</v>
      </c>
      <c r="I173" s="8">
        <v>0</v>
      </c>
      <c r="J173" s="1" t="s">
        <v>23</v>
      </c>
    </row>
    <row r="174" spans="1:10" ht="13.8" x14ac:dyDescent="0.25">
      <c r="A174" t="s">
        <v>219</v>
      </c>
      <c r="B174" s="8">
        <v>8</v>
      </c>
      <c r="C174" s="9" t="s">
        <v>16</v>
      </c>
      <c r="D174" s="9" t="s">
        <v>62</v>
      </c>
      <c r="E174" s="1">
        <v>45046</v>
      </c>
      <c r="F174" s="9" t="s">
        <v>13</v>
      </c>
      <c r="G174" s="11">
        <v>44698</v>
      </c>
      <c r="H174" s="8">
        <v>62</v>
      </c>
      <c r="I174" s="8">
        <v>0</v>
      </c>
      <c r="J174" s="1" t="s">
        <v>80</v>
      </c>
    </row>
    <row r="175" spans="1:10" ht="13.8" x14ac:dyDescent="0.25">
      <c r="A175" t="s">
        <v>220</v>
      </c>
      <c r="B175" s="8">
        <v>11</v>
      </c>
      <c r="C175" s="9" t="s">
        <v>11</v>
      </c>
      <c r="D175" s="9" t="s">
        <v>25</v>
      </c>
      <c r="E175" s="1">
        <v>45342</v>
      </c>
      <c r="F175" s="9" t="s">
        <v>13</v>
      </c>
      <c r="G175" s="11">
        <v>35296</v>
      </c>
      <c r="H175" s="8">
        <v>96</v>
      </c>
      <c r="I175" s="8">
        <v>2</v>
      </c>
      <c r="J175" s="1" t="s">
        <v>14</v>
      </c>
    </row>
    <row r="176" spans="1:10" ht="13.8" x14ac:dyDescent="0.25">
      <c r="A176" t="s">
        <v>221</v>
      </c>
      <c r="B176" s="8">
        <v>36</v>
      </c>
      <c r="C176" s="9" t="s">
        <v>11</v>
      </c>
      <c r="D176" s="9" t="s">
        <v>52</v>
      </c>
      <c r="E176" s="1">
        <v>45257</v>
      </c>
      <c r="F176" s="9" t="s">
        <v>18</v>
      </c>
      <c r="G176" s="11">
        <v>759</v>
      </c>
      <c r="H176" s="8">
        <v>87</v>
      </c>
      <c r="I176" s="8">
        <v>3</v>
      </c>
      <c r="J176" s="1" t="s">
        <v>40</v>
      </c>
    </row>
    <row r="177" spans="1:10" ht="13.8" x14ac:dyDescent="0.25">
      <c r="A177" t="s">
        <v>222</v>
      </c>
      <c r="B177" s="8">
        <v>90</v>
      </c>
      <c r="C177" s="9" t="s">
        <v>16</v>
      </c>
      <c r="D177" s="9" t="s">
        <v>62</v>
      </c>
      <c r="E177" s="1">
        <v>45469</v>
      </c>
      <c r="F177" s="9" t="s">
        <v>22</v>
      </c>
      <c r="G177" s="11">
        <v>6477</v>
      </c>
      <c r="H177" s="8">
        <v>46</v>
      </c>
      <c r="I177" s="8">
        <v>2</v>
      </c>
      <c r="J177" s="1" t="s">
        <v>42</v>
      </c>
    </row>
    <row r="178" spans="1:10" ht="13.8" x14ac:dyDescent="0.25">
      <c r="A178" t="s">
        <v>223</v>
      </c>
      <c r="B178" s="8">
        <v>71</v>
      </c>
      <c r="C178" s="9" t="s">
        <v>11</v>
      </c>
      <c r="D178" s="9" t="s">
        <v>25</v>
      </c>
      <c r="E178" s="1">
        <v>45033</v>
      </c>
      <c r="F178" s="9" t="s">
        <v>26</v>
      </c>
      <c r="G178" s="11">
        <v>40953</v>
      </c>
      <c r="H178" s="8">
        <v>88</v>
      </c>
      <c r="I178" s="8">
        <v>0</v>
      </c>
      <c r="J178" s="1" t="s">
        <v>80</v>
      </c>
    </row>
    <row r="179" spans="1:10" ht="13.8" x14ac:dyDescent="0.25">
      <c r="A179" t="s">
        <v>224</v>
      </c>
      <c r="B179" s="8">
        <v>34</v>
      </c>
      <c r="C179" s="9" t="s">
        <v>16</v>
      </c>
      <c r="D179" s="9" t="s">
        <v>12</v>
      </c>
      <c r="E179" s="1">
        <v>44935</v>
      </c>
      <c r="F179" s="9" t="s">
        <v>18</v>
      </c>
      <c r="G179" s="11">
        <v>29873</v>
      </c>
      <c r="H179" s="8">
        <v>77</v>
      </c>
      <c r="I179" s="8">
        <v>5</v>
      </c>
      <c r="J179" s="1" t="s">
        <v>95</v>
      </c>
    </row>
    <row r="180" spans="1:10" ht="13.8" x14ac:dyDescent="0.25">
      <c r="A180" t="s">
        <v>225</v>
      </c>
      <c r="B180" s="8">
        <v>27</v>
      </c>
      <c r="C180" s="9" t="s">
        <v>16</v>
      </c>
      <c r="D180" s="9" t="s">
        <v>52</v>
      </c>
      <c r="E180" s="1">
        <v>45586</v>
      </c>
      <c r="F180" s="9" t="s">
        <v>29</v>
      </c>
      <c r="G180" s="11">
        <v>6874</v>
      </c>
      <c r="H180" s="8">
        <v>97</v>
      </c>
      <c r="I180" s="8">
        <v>4</v>
      </c>
      <c r="J180" s="1" t="s">
        <v>92</v>
      </c>
    </row>
    <row r="181" spans="1:10" ht="13.8" x14ac:dyDescent="0.25">
      <c r="A181" t="s">
        <v>226</v>
      </c>
      <c r="B181" s="8">
        <v>33</v>
      </c>
      <c r="C181" s="9" t="s">
        <v>11</v>
      </c>
      <c r="D181" s="9" t="s">
        <v>12</v>
      </c>
      <c r="E181" s="1">
        <v>45448</v>
      </c>
      <c r="F181" s="9" t="s">
        <v>13</v>
      </c>
      <c r="G181" s="11">
        <v>4823</v>
      </c>
      <c r="H181" s="8">
        <v>98</v>
      </c>
      <c r="I181" s="8">
        <v>3</v>
      </c>
      <c r="J181" s="1" t="s">
        <v>42</v>
      </c>
    </row>
    <row r="182" spans="1:10" ht="13.8" x14ac:dyDescent="0.25">
      <c r="A182" t="s">
        <v>227</v>
      </c>
      <c r="B182" s="8">
        <v>3</v>
      </c>
      <c r="C182" s="9" t="s">
        <v>11</v>
      </c>
      <c r="D182" s="9" t="s">
        <v>12</v>
      </c>
      <c r="E182" s="1">
        <v>45583</v>
      </c>
      <c r="F182" s="9" t="s">
        <v>18</v>
      </c>
      <c r="G182" s="11">
        <v>41947</v>
      </c>
      <c r="H182" s="8">
        <v>41</v>
      </c>
      <c r="I182" s="8">
        <v>5</v>
      </c>
      <c r="J182" s="1" t="s">
        <v>92</v>
      </c>
    </row>
    <row r="183" spans="1:10" ht="13.8" x14ac:dyDescent="0.25">
      <c r="A183" t="s">
        <v>228</v>
      </c>
      <c r="B183" s="8">
        <v>18</v>
      </c>
      <c r="C183" s="9" t="s">
        <v>16</v>
      </c>
      <c r="D183" s="9" t="s">
        <v>17</v>
      </c>
      <c r="E183" s="1">
        <v>45340</v>
      </c>
      <c r="F183" s="9" t="s">
        <v>29</v>
      </c>
      <c r="G183" s="11">
        <v>23963</v>
      </c>
      <c r="H183" s="8">
        <v>67</v>
      </c>
      <c r="I183" s="8">
        <v>5</v>
      </c>
      <c r="J183" s="1" t="s">
        <v>14</v>
      </c>
    </row>
    <row r="184" spans="1:10" ht="13.8" x14ac:dyDescent="0.25">
      <c r="A184" t="s">
        <v>229</v>
      </c>
      <c r="B184" s="8">
        <v>20</v>
      </c>
      <c r="C184" s="9" t="s">
        <v>16</v>
      </c>
      <c r="D184" s="9" t="s">
        <v>21</v>
      </c>
      <c r="E184" s="1">
        <v>45545</v>
      </c>
      <c r="F184" s="9" t="s">
        <v>22</v>
      </c>
      <c r="G184" s="11">
        <v>25282</v>
      </c>
      <c r="H184" s="8">
        <v>70</v>
      </c>
      <c r="I184" s="8">
        <v>5</v>
      </c>
      <c r="J184" s="1" t="s">
        <v>45</v>
      </c>
    </row>
    <row r="185" spans="1:10" ht="13.8" x14ac:dyDescent="0.25">
      <c r="A185" t="s">
        <v>230</v>
      </c>
      <c r="B185" s="8">
        <v>67</v>
      </c>
      <c r="C185" s="9" t="s">
        <v>16</v>
      </c>
      <c r="D185" s="9" t="s">
        <v>52</v>
      </c>
      <c r="E185" s="1">
        <v>45430</v>
      </c>
      <c r="F185" s="9" t="s">
        <v>22</v>
      </c>
      <c r="G185" s="11">
        <v>23973</v>
      </c>
      <c r="H185" s="8">
        <v>61</v>
      </c>
      <c r="I185" s="8">
        <v>2</v>
      </c>
      <c r="J185" s="1" t="s">
        <v>66</v>
      </c>
    </row>
    <row r="186" spans="1:10" ht="13.8" x14ac:dyDescent="0.25">
      <c r="A186" t="s">
        <v>231</v>
      </c>
      <c r="B186" s="8">
        <v>24</v>
      </c>
      <c r="C186" s="9" t="s">
        <v>11</v>
      </c>
      <c r="D186" s="9" t="s">
        <v>12</v>
      </c>
      <c r="E186" s="1">
        <v>45622</v>
      </c>
      <c r="F186" s="9" t="s">
        <v>22</v>
      </c>
      <c r="G186" s="11">
        <v>33970</v>
      </c>
      <c r="H186" s="8">
        <v>79</v>
      </c>
      <c r="I186" s="8">
        <v>5</v>
      </c>
      <c r="J186" s="1" t="s">
        <v>54</v>
      </c>
    </row>
    <row r="187" spans="1:10" ht="13.8" x14ac:dyDescent="0.25">
      <c r="A187" t="s">
        <v>232</v>
      </c>
      <c r="B187" s="8">
        <v>51</v>
      </c>
      <c r="C187" s="9" t="s">
        <v>11</v>
      </c>
      <c r="D187" s="9" t="s">
        <v>21</v>
      </c>
      <c r="E187" s="1">
        <v>45617</v>
      </c>
      <c r="F187" s="9" t="s">
        <v>29</v>
      </c>
      <c r="G187" s="11">
        <v>12278</v>
      </c>
      <c r="H187" s="8">
        <v>88</v>
      </c>
      <c r="I187" s="8">
        <v>5</v>
      </c>
      <c r="J187" s="1" t="s">
        <v>54</v>
      </c>
    </row>
    <row r="188" spans="1:10" ht="13.8" x14ac:dyDescent="0.25">
      <c r="A188" t="s">
        <v>233</v>
      </c>
      <c r="B188" s="8">
        <v>25</v>
      </c>
      <c r="C188" s="9" t="s">
        <v>16</v>
      </c>
      <c r="D188" s="9" t="s">
        <v>12</v>
      </c>
      <c r="E188" s="1">
        <v>45354</v>
      </c>
      <c r="F188" s="9" t="s">
        <v>22</v>
      </c>
      <c r="G188" s="11">
        <v>555</v>
      </c>
      <c r="H188" s="8">
        <v>76</v>
      </c>
      <c r="I188" s="8">
        <v>0</v>
      </c>
      <c r="J188" s="1" t="s">
        <v>48</v>
      </c>
    </row>
    <row r="189" spans="1:10" ht="13.8" x14ac:dyDescent="0.25">
      <c r="A189" t="s">
        <v>234</v>
      </c>
      <c r="B189" s="8">
        <v>79</v>
      </c>
      <c r="C189" s="9" t="s">
        <v>16</v>
      </c>
      <c r="D189" s="9" t="s">
        <v>62</v>
      </c>
      <c r="E189" s="1">
        <v>45622</v>
      </c>
      <c r="F189" s="9" t="s">
        <v>18</v>
      </c>
      <c r="G189" s="11">
        <v>17968</v>
      </c>
      <c r="H189" s="8">
        <v>43</v>
      </c>
      <c r="I189" s="8">
        <v>4</v>
      </c>
      <c r="J189" s="1" t="s">
        <v>54</v>
      </c>
    </row>
    <row r="190" spans="1:10" ht="13.8" x14ac:dyDescent="0.25">
      <c r="A190" t="s">
        <v>235</v>
      </c>
      <c r="B190" s="8">
        <v>15</v>
      </c>
      <c r="C190" s="9" t="s">
        <v>16</v>
      </c>
      <c r="D190" s="9" t="s">
        <v>25</v>
      </c>
      <c r="E190" s="1">
        <v>45385</v>
      </c>
      <c r="F190" s="9" t="s">
        <v>26</v>
      </c>
      <c r="G190" s="11">
        <v>29160</v>
      </c>
      <c r="H190" s="8">
        <v>47</v>
      </c>
      <c r="I190" s="8">
        <v>5</v>
      </c>
      <c r="J190" s="1" t="s">
        <v>50</v>
      </c>
    </row>
    <row r="191" spans="1:10" ht="13.8" x14ac:dyDescent="0.25">
      <c r="A191" t="s">
        <v>236</v>
      </c>
      <c r="B191" s="8">
        <v>30</v>
      </c>
      <c r="C191" s="9" t="s">
        <v>16</v>
      </c>
      <c r="D191" s="9" t="s">
        <v>62</v>
      </c>
      <c r="E191" s="1">
        <v>45612</v>
      </c>
      <c r="F191" s="9" t="s">
        <v>22</v>
      </c>
      <c r="G191" s="11">
        <v>35204</v>
      </c>
      <c r="H191" s="8">
        <v>42</v>
      </c>
      <c r="I191" s="8">
        <v>5</v>
      </c>
      <c r="J191" s="1" t="s">
        <v>54</v>
      </c>
    </row>
    <row r="192" spans="1:10" ht="13.8" x14ac:dyDescent="0.25">
      <c r="A192" t="s">
        <v>237</v>
      </c>
      <c r="B192" s="8">
        <v>14</v>
      </c>
      <c r="C192" s="9" t="s">
        <v>16</v>
      </c>
      <c r="D192" s="9" t="s">
        <v>17</v>
      </c>
      <c r="E192" s="1">
        <v>45178</v>
      </c>
      <c r="F192" s="9" t="s">
        <v>13</v>
      </c>
      <c r="G192" s="11">
        <v>23767</v>
      </c>
      <c r="H192" s="8">
        <v>58</v>
      </c>
      <c r="I192" s="8">
        <v>2</v>
      </c>
      <c r="J192" s="1" t="s">
        <v>109</v>
      </c>
    </row>
    <row r="193" spans="1:10" ht="13.8" x14ac:dyDescent="0.25">
      <c r="A193" t="s">
        <v>238</v>
      </c>
      <c r="B193" s="8">
        <v>11</v>
      </c>
      <c r="C193" s="9" t="s">
        <v>16</v>
      </c>
      <c r="D193" s="9" t="s">
        <v>25</v>
      </c>
      <c r="E193" s="1">
        <v>45195</v>
      </c>
      <c r="F193" s="9" t="s">
        <v>13</v>
      </c>
      <c r="G193" s="11">
        <v>29413</v>
      </c>
      <c r="H193" s="8">
        <v>84</v>
      </c>
      <c r="I193" s="8">
        <v>3</v>
      </c>
      <c r="J193" s="1" t="s">
        <v>109</v>
      </c>
    </row>
    <row r="194" spans="1:10" ht="13.8" x14ac:dyDescent="0.25">
      <c r="A194" t="s">
        <v>239</v>
      </c>
      <c r="B194" s="8">
        <v>66</v>
      </c>
      <c r="C194" s="9" t="s">
        <v>11</v>
      </c>
      <c r="D194" s="9" t="s">
        <v>25</v>
      </c>
      <c r="E194" s="1">
        <v>45255</v>
      </c>
      <c r="F194" s="9" t="s">
        <v>29</v>
      </c>
      <c r="G194" s="11">
        <v>34628</v>
      </c>
      <c r="H194" s="8">
        <v>71</v>
      </c>
      <c r="I194" s="8">
        <v>0</v>
      </c>
      <c r="J194" s="1" t="s">
        <v>40</v>
      </c>
    </row>
    <row r="195" spans="1:10" ht="13.8" x14ac:dyDescent="0.25">
      <c r="A195" t="s">
        <v>240</v>
      </c>
      <c r="B195" s="8">
        <v>77</v>
      </c>
      <c r="C195" s="9" t="s">
        <v>11</v>
      </c>
      <c r="D195" s="9" t="s">
        <v>52</v>
      </c>
      <c r="E195" s="1">
        <v>45625</v>
      </c>
      <c r="F195" s="9" t="s">
        <v>26</v>
      </c>
      <c r="G195" s="11">
        <v>44764</v>
      </c>
      <c r="H195" s="8">
        <v>54</v>
      </c>
      <c r="I195" s="8">
        <v>3</v>
      </c>
      <c r="J195" s="1" t="s">
        <v>54</v>
      </c>
    </row>
    <row r="196" spans="1:10" ht="13.8" x14ac:dyDescent="0.25">
      <c r="A196" t="s">
        <v>241</v>
      </c>
      <c r="B196" s="8">
        <v>27</v>
      </c>
      <c r="C196" s="9" t="s">
        <v>16</v>
      </c>
      <c r="D196" s="9" t="s">
        <v>52</v>
      </c>
      <c r="E196" s="1">
        <v>45442</v>
      </c>
      <c r="F196" s="9" t="s">
        <v>53</v>
      </c>
      <c r="G196" s="11">
        <v>48786</v>
      </c>
      <c r="H196" s="8">
        <v>87</v>
      </c>
      <c r="I196" s="8">
        <v>0</v>
      </c>
      <c r="J196" s="1" t="s">
        <v>66</v>
      </c>
    </row>
    <row r="197" spans="1:10" ht="13.8" x14ac:dyDescent="0.25">
      <c r="A197" t="s">
        <v>242</v>
      </c>
      <c r="B197" s="8">
        <v>80</v>
      </c>
      <c r="C197" s="9" t="s">
        <v>11</v>
      </c>
      <c r="D197" s="9" t="s">
        <v>12</v>
      </c>
      <c r="E197" s="1">
        <v>45609</v>
      </c>
      <c r="F197" s="9" t="s">
        <v>26</v>
      </c>
      <c r="G197" s="11">
        <v>32174</v>
      </c>
      <c r="H197" s="8">
        <v>82</v>
      </c>
      <c r="I197" s="8">
        <v>3</v>
      </c>
      <c r="J197" s="1" t="s">
        <v>54</v>
      </c>
    </row>
    <row r="198" spans="1:10" ht="13.8" x14ac:dyDescent="0.25">
      <c r="A198" t="s">
        <v>243</v>
      </c>
      <c r="B198" s="8">
        <v>63</v>
      </c>
      <c r="C198" s="9" t="s">
        <v>16</v>
      </c>
      <c r="D198" s="9" t="s">
        <v>52</v>
      </c>
      <c r="E198" s="1">
        <v>45483</v>
      </c>
      <c r="F198" s="9" t="s">
        <v>29</v>
      </c>
      <c r="G198" s="11">
        <v>9611</v>
      </c>
      <c r="H198" s="8">
        <v>70</v>
      </c>
      <c r="I198" s="8">
        <v>5</v>
      </c>
      <c r="J198" s="1" t="s">
        <v>19</v>
      </c>
    </row>
    <row r="199" spans="1:10" ht="13.8" x14ac:dyDescent="0.25">
      <c r="A199" t="s">
        <v>244</v>
      </c>
      <c r="B199" s="8">
        <v>38</v>
      </c>
      <c r="C199" s="9" t="s">
        <v>11</v>
      </c>
      <c r="D199" s="9" t="s">
        <v>52</v>
      </c>
      <c r="E199" s="1">
        <v>44973</v>
      </c>
      <c r="F199" s="9" t="s">
        <v>22</v>
      </c>
      <c r="G199" s="11">
        <v>17629</v>
      </c>
      <c r="H199" s="8">
        <v>62</v>
      </c>
      <c r="I199" s="8">
        <v>3</v>
      </c>
      <c r="J199" s="1" t="s">
        <v>126</v>
      </c>
    </row>
    <row r="200" spans="1:10" ht="13.8" x14ac:dyDescent="0.25">
      <c r="A200" t="s">
        <v>245</v>
      </c>
      <c r="B200" s="8">
        <v>57</v>
      </c>
      <c r="C200" s="9" t="s">
        <v>16</v>
      </c>
      <c r="D200" s="9" t="s">
        <v>12</v>
      </c>
      <c r="E200" s="1">
        <v>45186</v>
      </c>
      <c r="F200" s="9" t="s">
        <v>18</v>
      </c>
      <c r="G200" s="11">
        <v>45114</v>
      </c>
      <c r="H200" s="8">
        <v>41</v>
      </c>
      <c r="I200" s="8">
        <v>5</v>
      </c>
      <c r="J200" s="1" t="s">
        <v>109</v>
      </c>
    </row>
    <row r="201" spans="1:10" ht="13.8" x14ac:dyDescent="0.25">
      <c r="A201" t="s">
        <v>246</v>
      </c>
      <c r="B201" s="8">
        <v>41</v>
      </c>
      <c r="C201" s="9" t="s">
        <v>11</v>
      </c>
      <c r="D201" s="9" t="s">
        <v>17</v>
      </c>
      <c r="E201" s="1">
        <v>45259</v>
      </c>
      <c r="F201" s="9" t="s">
        <v>13</v>
      </c>
      <c r="G201" s="11">
        <v>29890</v>
      </c>
      <c r="H201" s="8">
        <v>73</v>
      </c>
      <c r="I201" s="8">
        <v>4</v>
      </c>
      <c r="J201" s="1" t="s">
        <v>40</v>
      </c>
    </row>
    <row r="202" spans="1:10" ht="13.8" x14ac:dyDescent="0.25">
      <c r="A202" t="s">
        <v>247</v>
      </c>
      <c r="B202" s="8">
        <v>43</v>
      </c>
      <c r="C202" s="9" t="s">
        <v>16</v>
      </c>
      <c r="D202" s="9" t="s">
        <v>25</v>
      </c>
      <c r="E202" s="1">
        <v>45551</v>
      </c>
      <c r="F202" s="9" t="s">
        <v>18</v>
      </c>
      <c r="G202" s="11">
        <v>36311</v>
      </c>
      <c r="H202" s="8">
        <v>99</v>
      </c>
      <c r="I202" s="8">
        <v>1</v>
      </c>
      <c r="J202" s="1" t="s">
        <v>45</v>
      </c>
    </row>
    <row r="203" spans="1:10" ht="13.8" x14ac:dyDescent="0.25">
      <c r="A203" t="s">
        <v>248</v>
      </c>
      <c r="B203" s="8">
        <v>14</v>
      </c>
      <c r="C203" s="9" t="s">
        <v>16</v>
      </c>
      <c r="D203" s="9" t="s">
        <v>62</v>
      </c>
      <c r="E203" s="1">
        <v>45565</v>
      </c>
      <c r="F203" s="9" t="s">
        <v>53</v>
      </c>
      <c r="G203" s="11">
        <v>13027</v>
      </c>
      <c r="H203" s="8">
        <v>80</v>
      </c>
      <c r="I203" s="8">
        <v>3</v>
      </c>
      <c r="J203" s="1" t="s">
        <v>45</v>
      </c>
    </row>
    <row r="204" spans="1:10" ht="13.8" x14ac:dyDescent="0.25">
      <c r="A204" t="s">
        <v>249</v>
      </c>
      <c r="B204" s="8">
        <v>14</v>
      </c>
      <c r="C204" s="9" t="s">
        <v>16</v>
      </c>
      <c r="D204" s="9" t="s">
        <v>52</v>
      </c>
      <c r="E204" s="1">
        <v>45395</v>
      </c>
      <c r="F204" s="9" t="s">
        <v>26</v>
      </c>
      <c r="G204" s="11">
        <v>3985</v>
      </c>
      <c r="H204" s="8">
        <v>72</v>
      </c>
      <c r="I204" s="8">
        <v>1</v>
      </c>
      <c r="J204" s="1" t="s">
        <v>50</v>
      </c>
    </row>
    <row r="205" spans="1:10" ht="13.8" x14ac:dyDescent="0.25">
      <c r="A205" t="s">
        <v>250</v>
      </c>
      <c r="B205" s="8">
        <v>32</v>
      </c>
      <c r="C205" s="9" t="s">
        <v>11</v>
      </c>
      <c r="D205" s="9" t="s">
        <v>62</v>
      </c>
      <c r="E205" s="1">
        <v>45208</v>
      </c>
      <c r="F205" s="9" t="s">
        <v>18</v>
      </c>
      <c r="G205" s="11">
        <v>36396</v>
      </c>
      <c r="H205" s="8">
        <v>77</v>
      </c>
      <c r="I205" s="8">
        <v>1</v>
      </c>
      <c r="J205" s="1" t="s">
        <v>27</v>
      </c>
    </row>
    <row r="206" spans="1:10" ht="13.8" x14ac:dyDescent="0.25">
      <c r="A206" t="s">
        <v>251</v>
      </c>
      <c r="B206" s="8">
        <v>43</v>
      </c>
      <c r="C206" s="9" t="s">
        <v>11</v>
      </c>
      <c r="D206" s="9" t="s">
        <v>17</v>
      </c>
      <c r="E206" s="1">
        <v>45490</v>
      </c>
      <c r="F206" s="9" t="s">
        <v>18</v>
      </c>
      <c r="G206" s="11">
        <v>29881</v>
      </c>
      <c r="H206" s="8">
        <v>53</v>
      </c>
      <c r="I206" s="8">
        <v>5</v>
      </c>
      <c r="J206" s="1" t="s">
        <v>19</v>
      </c>
    </row>
    <row r="207" spans="1:10" ht="13.8" x14ac:dyDescent="0.25">
      <c r="A207" t="s">
        <v>252</v>
      </c>
      <c r="B207" s="8">
        <v>20</v>
      </c>
      <c r="C207" s="9" t="s">
        <v>11</v>
      </c>
      <c r="D207" s="9" t="s">
        <v>52</v>
      </c>
      <c r="E207" s="1">
        <v>45378</v>
      </c>
      <c r="F207" s="9" t="s">
        <v>53</v>
      </c>
      <c r="G207" s="11">
        <v>28431</v>
      </c>
      <c r="H207" s="8">
        <v>81</v>
      </c>
      <c r="I207" s="8">
        <v>1</v>
      </c>
      <c r="J207" s="1" t="s">
        <v>48</v>
      </c>
    </row>
    <row r="208" spans="1:10" ht="13.8" x14ac:dyDescent="0.25">
      <c r="A208" t="s">
        <v>253</v>
      </c>
      <c r="B208" s="8">
        <v>27</v>
      </c>
      <c r="C208" s="9" t="s">
        <v>16</v>
      </c>
      <c r="D208" s="9" t="s">
        <v>25</v>
      </c>
      <c r="E208" s="1">
        <v>45470</v>
      </c>
      <c r="F208" s="9" t="s">
        <v>29</v>
      </c>
      <c r="G208" s="11">
        <v>30252</v>
      </c>
      <c r="H208" s="8">
        <v>56</v>
      </c>
      <c r="I208" s="8">
        <v>5</v>
      </c>
      <c r="J208" s="1" t="s">
        <v>42</v>
      </c>
    </row>
    <row r="209" spans="1:10" ht="13.8" x14ac:dyDescent="0.25">
      <c r="A209" t="s">
        <v>254</v>
      </c>
      <c r="B209" s="8">
        <v>57</v>
      </c>
      <c r="C209" s="9" t="s">
        <v>11</v>
      </c>
      <c r="D209" s="9" t="s">
        <v>21</v>
      </c>
      <c r="E209" s="1">
        <v>45224</v>
      </c>
      <c r="F209" s="9" t="s">
        <v>13</v>
      </c>
      <c r="G209" s="11">
        <v>36369</v>
      </c>
      <c r="H209" s="8">
        <v>57</v>
      </c>
      <c r="I209" s="8">
        <v>2</v>
      </c>
      <c r="J209" s="1" t="s">
        <v>27</v>
      </c>
    </row>
    <row r="210" spans="1:10" ht="13.8" x14ac:dyDescent="0.25">
      <c r="A210" t="s">
        <v>255</v>
      </c>
      <c r="B210" s="8">
        <v>74</v>
      </c>
      <c r="C210" s="9" t="s">
        <v>11</v>
      </c>
      <c r="D210" s="9" t="s">
        <v>52</v>
      </c>
      <c r="E210" s="1">
        <v>45284</v>
      </c>
      <c r="F210" s="9" t="s">
        <v>22</v>
      </c>
      <c r="G210" s="11">
        <v>12553</v>
      </c>
      <c r="H210" s="8">
        <v>62</v>
      </c>
      <c r="I210" s="8">
        <v>2</v>
      </c>
      <c r="J210" s="1" t="s">
        <v>57</v>
      </c>
    </row>
    <row r="211" spans="1:10" ht="13.8" x14ac:dyDescent="0.25">
      <c r="A211" t="s">
        <v>256</v>
      </c>
      <c r="B211" s="8">
        <v>12</v>
      </c>
      <c r="C211" s="9" t="s">
        <v>11</v>
      </c>
      <c r="D211" s="9" t="s">
        <v>52</v>
      </c>
      <c r="E211" s="1">
        <v>45219</v>
      </c>
      <c r="F211" s="9" t="s">
        <v>26</v>
      </c>
      <c r="G211" s="11">
        <v>40093</v>
      </c>
      <c r="H211" s="8">
        <v>59</v>
      </c>
      <c r="I211" s="8">
        <v>2</v>
      </c>
      <c r="J211" s="1" t="s">
        <v>27</v>
      </c>
    </row>
    <row r="212" spans="1:10" ht="13.8" x14ac:dyDescent="0.25">
      <c r="A212" t="s">
        <v>257</v>
      </c>
      <c r="B212" s="8">
        <v>7</v>
      </c>
      <c r="C212" s="9" t="s">
        <v>11</v>
      </c>
      <c r="D212" s="9" t="s">
        <v>21</v>
      </c>
      <c r="E212" s="1">
        <v>45049</v>
      </c>
      <c r="F212" s="9" t="s">
        <v>18</v>
      </c>
      <c r="G212" s="11">
        <v>48879</v>
      </c>
      <c r="H212" s="8">
        <v>68</v>
      </c>
      <c r="I212" s="8">
        <v>1</v>
      </c>
      <c r="J212" s="1" t="s">
        <v>35</v>
      </c>
    </row>
    <row r="213" spans="1:10" ht="13.8" x14ac:dyDescent="0.25">
      <c r="A213" t="s">
        <v>258</v>
      </c>
      <c r="B213" s="8">
        <v>62</v>
      </c>
      <c r="C213" s="9" t="s">
        <v>16</v>
      </c>
      <c r="D213" s="9" t="s">
        <v>62</v>
      </c>
      <c r="E213" s="1">
        <v>45112</v>
      </c>
      <c r="F213" s="9" t="s">
        <v>22</v>
      </c>
      <c r="G213" s="11">
        <v>39615</v>
      </c>
      <c r="H213" s="8">
        <v>73</v>
      </c>
      <c r="I213" s="8">
        <v>4</v>
      </c>
      <c r="J213" s="1" t="s">
        <v>78</v>
      </c>
    </row>
    <row r="214" spans="1:10" ht="13.8" x14ac:dyDescent="0.25">
      <c r="A214" t="s">
        <v>259</v>
      </c>
      <c r="B214" s="8">
        <v>29</v>
      </c>
      <c r="C214" s="9" t="s">
        <v>16</v>
      </c>
      <c r="D214" s="9" t="s">
        <v>25</v>
      </c>
      <c r="E214" s="1">
        <v>45576</v>
      </c>
      <c r="F214" s="9" t="s">
        <v>22</v>
      </c>
      <c r="G214" s="11">
        <v>10720</v>
      </c>
      <c r="H214" s="8">
        <v>94</v>
      </c>
      <c r="I214" s="8">
        <v>3</v>
      </c>
      <c r="J214" s="1" t="s">
        <v>92</v>
      </c>
    </row>
    <row r="215" spans="1:10" ht="13.8" x14ac:dyDescent="0.25">
      <c r="A215" t="s">
        <v>260</v>
      </c>
      <c r="B215" s="8">
        <v>52</v>
      </c>
      <c r="C215" s="9" t="s">
        <v>11</v>
      </c>
      <c r="D215" s="9" t="s">
        <v>17</v>
      </c>
      <c r="E215" s="1">
        <v>45055</v>
      </c>
      <c r="F215" s="9" t="s">
        <v>22</v>
      </c>
      <c r="G215" s="11">
        <v>15150</v>
      </c>
      <c r="H215" s="8">
        <v>71</v>
      </c>
      <c r="I215" s="8">
        <v>2</v>
      </c>
      <c r="J215" s="1" t="s">
        <v>35</v>
      </c>
    </row>
    <row r="216" spans="1:10" ht="13.8" x14ac:dyDescent="0.25">
      <c r="A216" t="s">
        <v>261</v>
      </c>
      <c r="B216" s="8">
        <v>44</v>
      </c>
      <c r="C216" s="9" t="s">
        <v>11</v>
      </c>
      <c r="D216" s="9" t="s">
        <v>12</v>
      </c>
      <c r="E216" s="1">
        <v>45278</v>
      </c>
      <c r="F216" s="9" t="s">
        <v>18</v>
      </c>
      <c r="G216" s="11">
        <v>4250</v>
      </c>
      <c r="H216" s="8">
        <v>63</v>
      </c>
      <c r="I216" s="8">
        <v>3</v>
      </c>
      <c r="J216" s="1" t="s">
        <v>57</v>
      </c>
    </row>
    <row r="217" spans="1:10" ht="13.8" x14ac:dyDescent="0.25">
      <c r="A217" t="s">
        <v>262</v>
      </c>
      <c r="B217" s="8">
        <v>13</v>
      </c>
      <c r="C217" s="9" t="s">
        <v>16</v>
      </c>
      <c r="D217" s="9" t="s">
        <v>17</v>
      </c>
      <c r="E217" s="1">
        <v>44961</v>
      </c>
      <c r="F217" s="9" t="s">
        <v>18</v>
      </c>
      <c r="G217" s="11">
        <v>17793</v>
      </c>
      <c r="H217" s="8">
        <v>78</v>
      </c>
      <c r="I217" s="8">
        <v>0</v>
      </c>
      <c r="J217" s="1" t="s">
        <v>126</v>
      </c>
    </row>
    <row r="218" spans="1:10" ht="13.8" x14ac:dyDescent="0.25">
      <c r="A218" t="s">
        <v>263</v>
      </c>
      <c r="B218" s="8">
        <v>39</v>
      </c>
      <c r="C218" s="9" t="s">
        <v>16</v>
      </c>
      <c r="D218" s="9" t="s">
        <v>12</v>
      </c>
      <c r="E218" s="1">
        <v>45262</v>
      </c>
      <c r="F218" s="9" t="s">
        <v>29</v>
      </c>
      <c r="G218" s="11">
        <v>12457</v>
      </c>
      <c r="H218" s="8">
        <v>96</v>
      </c>
      <c r="I218" s="8">
        <v>5</v>
      </c>
      <c r="J218" s="1" t="s">
        <v>57</v>
      </c>
    </row>
    <row r="219" spans="1:10" ht="13.8" x14ac:dyDescent="0.25">
      <c r="A219" t="s">
        <v>264</v>
      </c>
      <c r="B219" s="8">
        <v>33</v>
      </c>
      <c r="C219" s="9" t="s">
        <v>16</v>
      </c>
      <c r="D219" s="9" t="s">
        <v>62</v>
      </c>
      <c r="E219" s="1">
        <v>45542</v>
      </c>
      <c r="F219" s="9" t="s">
        <v>13</v>
      </c>
      <c r="G219" s="11">
        <v>37403</v>
      </c>
      <c r="H219" s="8">
        <v>87</v>
      </c>
      <c r="I219" s="8">
        <v>5</v>
      </c>
      <c r="J219" s="1" t="s">
        <v>45</v>
      </c>
    </row>
    <row r="220" spans="1:10" ht="13.8" x14ac:dyDescent="0.25">
      <c r="A220" t="s">
        <v>265</v>
      </c>
      <c r="B220" s="8">
        <v>7</v>
      </c>
      <c r="C220" s="9" t="s">
        <v>11</v>
      </c>
      <c r="D220" s="9" t="s">
        <v>52</v>
      </c>
      <c r="E220" s="1">
        <v>45508</v>
      </c>
      <c r="F220" s="9" t="s">
        <v>13</v>
      </c>
      <c r="G220" s="11">
        <v>6015</v>
      </c>
      <c r="H220" s="8">
        <v>56</v>
      </c>
      <c r="I220" s="8">
        <v>2</v>
      </c>
      <c r="J220" s="1" t="s">
        <v>33</v>
      </c>
    </row>
    <row r="221" spans="1:10" ht="13.8" x14ac:dyDescent="0.25">
      <c r="A221" t="s">
        <v>266</v>
      </c>
      <c r="B221" s="8">
        <v>19</v>
      </c>
      <c r="C221" s="9" t="s">
        <v>11</v>
      </c>
      <c r="D221" s="9" t="s">
        <v>12</v>
      </c>
      <c r="E221" s="1">
        <v>45155</v>
      </c>
      <c r="F221" s="9" t="s">
        <v>29</v>
      </c>
      <c r="G221" s="11">
        <v>34473</v>
      </c>
      <c r="H221" s="8">
        <v>61</v>
      </c>
      <c r="I221" s="8">
        <v>4</v>
      </c>
      <c r="J221" s="1" t="s">
        <v>30</v>
      </c>
    </row>
    <row r="222" spans="1:10" ht="13.8" x14ac:dyDescent="0.25">
      <c r="A222" t="s">
        <v>267</v>
      </c>
      <c r="B222" s="8">
        <v>60</v>
      </c>
      <c r="C222" s="9" t="s">
        <v>11</v>
      </c>
      <c r="D222" s="9" t="s">
        <v>21</v>
      </c>
      <c r="E222" s="1">
        <v>45355</v>
      </c>
      <c r="F222" s="9" t="s">
        <v>18</v>
      </c>
      <c r="G222" s="11">
        <v>36630</v>
      </c>
      <c r="H222" s="8">
        <v>61</v>
      </c>
      <c r="I222" s="8">
        <v>2</v>
      </c>
      <c r="J222" s="1" t="s">
        <v>48</v>
      </c>
    </row>
    <row r="223" spans="1:10" ht="13.8" x14ac:dyDescent="0.25">
      <c r="A223" t="s">
        <v>268</v>
      </c>
      <c r="B223" s="8">
        <v>59</v>
      </c>
      <c r="C223" s="9" t="s">
        <v>11</v>
      </c>
      <c r="D223" s="9" t="s">
        <v>12</v>
      </c>
      <c r="E223" s="1">
        <v>45263</v>
      </c>
      <c r="F223" s="9" t="s">
        <v>26</v>
      </c>
      <c r="G223" s="11">
        <v>49565</v>
      </c>
      <c r="H223" s="8">
        <v>73</v>
      </c>
      <c r="I223" s="8">
        <v>1</v>
      </c>
      <c r="J223" s="1" t="s">
        <v>57</v>
      </c>
    </row>
    <row r="224" spans="1:10" ht="13.8" x14ac:dyDescent="0.25">
      <c r="A224" t="s">
        <v>269</v>
      </c>
      <c r="B224" s="8">
        <v>19</v>
      </c>
      <c r="C224" s="9" t="s">
        <v>16</v>
      </c>
      <c r="D224" s="9" t="s">
        <v>52</v>
      </c>
      <c r="E224" s="1">
        <v>45126</v>
      </c>
      <c r="F224" s="9" t="s">
        <v>22</v>
      </c>
      <c r="G224" s="11">
        <v>12006</v>
      </c>
      <c r="H224" s="8">
        <v>45</v>
      </c>
      <c r="I224" s="8">
        <v>3</v>
      </c>
      <c r="J224" s="1" t="s">
        <v>78</v>
      </c>
    </row>
    <row r="225" spans="1:10" ht="13.8" x14ac:dyDescent="0.25">
      <c r="A225" t="s">
        <v>270</v>
      </c>
      <c r="B225" s="8">
        <v>24</v>
      </c>
      <c r="C225" s="9" t="s">
        <v>11</v>
      </c>
      <c r="D225" s="9" t="s">
        <v>52</v>
      </c>
      <c r="E225" s="1">
        <v>44952</v>
      </c>
      <c r="F225" s="9" t="s">
        <v>18</v>
      </c>
      <c r="G225" s="11">
        <v>27986</v>
      </c>
      <c r="H225" s="8">
        <v>85</v>
      </c>
      <c r="I225" s="8">
        <v>1</v>
      </c>
      <c r="J225" s="1" t="s">
        <v>95</v>
      </c>
    </row>
    <row r="226" spans="1:10" ht="13.8" x14ac:dyDescent="0.25">
      <c r="A226" t="s">
        <v>271</v>
      </c>
      <c r="B226" s="8">
        <v>28</v>
      </c>
      <c r="C226" s="9" t="s">
        <v>16</v>
      </c>
      <c r="D226" s="9" t="s">
        <v>17</v>
      </c>
      <c r="E226" s="1">
        <v>45415</v>
      </c>
      <c r="F226" s="9" t="s">
        <v>22</v>
      </c>
      <c r="G226" s="11">
        <v>43692</v>
      </c>
      <c r="H226" s="8">
        <v>79</v>
      </c>
      <c r="I226" s="8">
        <v>2</v>
      </c>
      <c r="J226" s="1" t="s">
        <v>66</v>
      </c>
    </row>
    <row r="227" spans="1:10" ht="13.8" x14ac:dyDescent="0.25">
      <c r="A227" t="s">
        <v>272</v>
      </c>
      <c r="B227" s="8">
        <v>77</v>
      </c>
      <c r="C227" s="9" t="s">
        <v>11</v>
      </c>
      <c r="D227" s="9" t="s">
        <v>12</v>
      </c>
      <c r="E227" s="1">
        <v>45485</v>
      </c>
      <c r="F227" s="9" t="s">
        <v>26</v>
      </c>
      <c r="G227" s="11">
        <v>35779</v>
      </c>
      <c r="H227" s="8">
        <v>62</v>
      </c>
      <c r="I227" s="8">
        <v>4</v>
      </c>
      <c r="J227" s="1" t="s">
        <v>19</v>
      </c>
    </row>
    <row r="228" spans="1:10" ht="13.8" x14ac:dyDescent="0.25">
      <c r="A228" t="s">
        <v>273</v>
      </c>
      <c r="B228" s="8">
        <v>79</v>
      </c>
      <c r="C228" s="9" t="s">
        <v>16</v>
      </c>
      <c r="D228" s="9" t="s">
        <v>25</v>
      </c>
      <c r="E228" s="1">
        <v>45269</v>
      </c>
      <c r="F228" s="9" t="s">
        <v>53</v>
      </c>
      <c r="G228" s="11">
        <v>29755</v>
      </c>
      <c r="H228" s="8">
        <v>89</v>
      </c>
      <c r="I228" s="8">
        <v>1</v>
      </c>
      <c r="J228" s="1" t="s">
        <v>57</v>
      </c>
    </row>
    <row r="229" spans="1:10" ht="13.8" x14ac:dyDescent="0.25">
      <c r="A229" t="s">
        <v>274</v>
      </c>
      <c r="B229" s="8">
        <v>27</v>
      </c>
      <c r="C229" s="9" t="s">
        <v>16</v>
      </c>
      <c r="D229" s="9" t="s">
        <v>62</v>
      </c>
      <c r="E229" s="1">
        <v>45187</v>
      </c>
      <c r="F229" s="9" t="s">
        <v>13</v>
      </c>
      <c r="G229" s="11">
        <v>48032</v>
      </c>
      <c r="H229" s="8">
        <v>100</v>
      </c>
      <c r="I229" s="8">
        <v>3</v>
      </c>
      <c r="J229" s="1" t="s">
        <v>109</v>
      </c>
    </row>
    <row r="230" spans="1:10" ht="13.8" x14ac:dyDescent="0.25">
      <c r="A230" t="s">
        <v>275</v>
      </c>
      <c r="B230" s="8">
        <v>51</v>
      </c>
      <c r="C230" s="9" t="s">
        <v>11</v>
      </c>
      <c r="D230" s="9" t="s">
        <v>25</v>
      </c>
      <c r="E230" s="1">
        <v>45291</v>
      </c>
      <c r="F230" s="9" t="s">
        <v>53</v>
      </c>
      <c r="G230" s="11">
        <v>515</v>
      </c>
      <c r="H230" s="8">
        <v>72</v>
      </c>
      <c r="I230" s="8">
        <v>1</v>
      </c>
      <c r="J230" s="1" t="s">
        <v>57</v>
      </c>
    </row>
    <row r="231" spans="1:10" ht="13.8" x14ac:dyDescent="0.25">
      <c r="A231" t="s">
        <v>276</v>
      </c>
      <c r="B231" s="8">
        <v>17</v>
      </c>
      <c r="C231" s="9" t="s">
        <v>16</v>
      </c>
      <c r="D231" s="9" t="s">
        <v>52</v>
      </c>
      <c r="E231" s="1">
        <v>45447</v>
      </c>
      <c r="F231" s="9" t="s">
        <v>26</v>
      </c>
      <c r="G231" s="11">
        <v>33708</v>
      </c>
      <c r="H231" s="8">
        <v>85</v>
      </c>
      <c r="I231" s="8">
        <v>1</v>
      </c>
      <c r="J231" s="1" t="s">
        <v>42</v>
      </c>
    </row>
    <row r="232" spans="1:10" ht="13.8" x14ac:dyDescent="0.25">
      <c r="A232" t="s">
        <v>277</v>
      </c>
      <c r="B232" s="8">
        <v>44</v>
      </c>
      <c r="C232" s="9" t="s">
        <v>11</v>
      </c>
      <c r="D232" s="9" t="s">
        <v>17</v>
      </c>
      <c r="E232" s="1">
        <v>45036</v>
      </c>
      <c r="F232" s="9" t="s">
        <v>22</v>
      </c>
      <c r="G232" s="11">
        <v>8991</v>
      </c>
      <c r="H232" s="8">
        <v>99</v>
      </c>
      <c r="I232" s="8">
        <v>5</v>
      </c>
      <c r="J232" s="1" t="s">
        <v>80</v>
      </c>
    </row>
    <row r="233" spans="1:10" ht="13.8" x14ac:dyDescent="0.25">
      <c r="A233" t="s">
        <v>278</v>
      </c>
      <c r="B233" s="8">
        <v>37</v>
      </c>
      <c r="C233" s="9" t="s">
        <v>11</v>
      </c>
      <c r="D233" s="9" t="s">
        <v>17</v>
      </c>
      <c r="E233" s="1">
        <v>45228</v>
      </c>
      <c r="F233" s="9" t="s">
        <v>13</v>
      </c>
      <c r="G233" s="11">
        <v>36624</v>
      </c>
      <c r="H233" s="8">
        <v>69</v>
      </c>
      <c r="I233" s="8">
        <v>0</v>
      </c>
      <c r="J233" s="1" t="s">
        <v>27</v>
      </c>
    </row>
    <row r="234" spans="1:10" ht="13.8" x14ac:dyDescent="0.25">
      <c r="A234" t="s">
        <v>279</v>
      </c>
      <c r="B234" s="8">
        <v>74</v>
      </c>
      <c r="C234" s="9" t="s">
        <v>11</v>
      </c>
      <c r="D234" s="9" t="s">
        <v>17</v>
      </c>
      <c r="E234" s="1">
        <v>45066</v>
      </c>
      <c r="F234" s="9" t="s">
        <v>22</v>
      </c>
      <c r="G234" s="11">
        <v>10993</v>
      </c>
      <c r="H234" s="8">
        <v>71</v>
      </c>
      <c r="I234" s="8">
        <v>2</v>
      </c>
      <c r="J234" s="1" t="s">
        <v>35</v>
      </c>
    </row>
    <row r="235" spans="1:10" ht="13.8" x14ac:dyDescent="0.25">
      <c r="A235" t="s">
        <v>280</v>
      </c>
      <c r="B235" s="8">
        <v>11</v>
      </c>
      <c r="C235" s="9" t="s">
        <v>11</v>
      </c>
      <c r="D235" s="9" t="s">
        <v>52</v>
      </c>
      <c r="E235" s="1">
        <v>45366</v>
      </c>
      <c r="F235" s="9" t="s">
        <v>18</v>
      </c>
      <c r="G235" s="11">
        <v>22200</v>
      </c>
      <c r="H235" s="8">
        <v>72</v>
      </c>
      <c r="I235" s="8">
        <v>1</v>
      </c>
      <c r="J235" s="1" t="s">
        <v>48</v>
      </c>
    </row>
    <row r="236" spans="1:10" ht="13.8" x14ac:dyDescent="0.25">
      <c r="A236" t="s">
        <v>281</v>
      </c>
      <c r="B236" s="8">
        <v>58</v>
      </c>
      <c r="C236" s="9" t="s">
        <v>11</v>
      </c>
      <c r="D236" s="9" t="s">
        <v>21</v>
      </c>
      <c r="E236" s="1">
        <v>45251</v>
      </c>
      <c r="F236" s="9" t="s">
        <v>22</v>
      </c>
      <c r="G236" s="11">
        <v>20582</v>
      </c>
      <c r="H236" s="8">
        <v>57</v>
      </c>
      <c r="I236" s="8">
        <v>5</v>
      </c>
      <c r="J236" s="1" t="s">
        <v>40</v>
      </c>
    </row>
    <row r="237" spans="1:10" ht="13.8" x14ac:dyDescent="0.25">
      <c r="A237" t="s">
        <v>282</v>
      </c>
      <c r="B237" s="8">
        <v>45</v>
      </c>
      <c r="C237" s="9" t="s">
        <v>11</v>
      </c>
      <c r="D237" s="9" t="s">
        <v>52</v>
      </c>
      <c r="E237" s="1">
        <v>45156</v>
      </c>
      <c r="F237" s="9" t="s">
        <v>13</v>
      </c>
      <c r="G237" s="11">
        <v>28280</v>
      </c>
      <c r="H237" s="8">
        <v>71</v>
      </c>
      <c r="I237" s="8">
        <v>3</v>
      </c>
      <c r="J237" s="1" t="s">
        <v>30</v>
      </c>
    </row>
    <row r="238" spans="1:10" ht="13.8" x14ac:dyDescent="0.25">
      <c r="A238" t="s">
        <v>283</v>
      </c>
      <c r="B238" s="8">
        <v>47</v>
      </c>
      <c r="C238" s="9" t="s">
        <v>11</v>
      </c>
      <c r="D238" s="9" t="s">
        <v>25</v>
      </c>
      <c r="E238" s="1">
        <v>44962</v>
      </c>
      <c r="F238" s="9" t="s">
        <v>13</v>
      </c>
      <c r="G238" s="11">
        <v>37557</v>
      </c>
      <c r="H238" s="8">
        <v>85</v>
      </c>
      <c r="I238" s="8">
        <v>3</v>
      </c>
      <c r="J238" s="1" t="s">
        <v>126</v>
      </c>
    </row>
    <row r="239" spans="1:10" ht="13.8" x14ac:dyDescent="0.25">
      <c r="A239" t="s">
        <v>284</v>
      </c>
      <c r="B239" s="8">
        <v>30</v>
      </c>
      <c r="C239" s="9" t="s">
        <v>11</v>
      </c>
      <c r="D239" s="9" t="s">
        <v>52</v>
      </c>
      <c r="E239" s="1">
        <v>45448</v>
      </c>
      <c r="F239" s="9" t="s">
        <v>13</v>
      </c>
      <c r="G239" s="11">
        <v>7942</v>
      </c>
      <c r="H239" s="8">
        <v>52</v>
      </c>
      <c r="I239" s="8">
        <v>0</v>
      </c>
      <c r="J239" s="1" t="s">
        <v>42</v>
      </c>
    </row>
    <row r="240" spans="1:10" ht="13.8" x14ac:dyDescent="0.25">
      <c r="A240" t="s">
        <v>285</v>
      </c>
      <c r="B240" s="8">
        <v>75</v>
      </c>
      <c r="C240" s="9" t="s">
        <v>11</v>
      </c>
      <c r="D240" s="9" t="s">
        <v>52</v>
      </c>
      <c r="E240" s="1">
        <v>45310</v>
      </c>
      <c r="F240" s="9" t="s">
        <v>29</v>
      </c>
      <c r="G240" s="11">
        <v>16575</v>
      </c>
      <c r="H240" s="8">
        <v>42</v>
      </c>
      <c r="I240" s="8">
        <v>1</v>
      </c>
      <c r="J240" s="1" t="s">
        <v>23</v>
      </c>
    </row>
    <row r="241" spans="1:10" ht="13.8" x14ac:dyDescent="0.25">
      <c r="A241" t="s">
        <v>286</v>
      </c>
      <c r="B241" s="8">
        <v>86</v>
      </c>
      <c r="C241" s="9" t="s">
        <v>16</v>
      </c>
      <c r="D241" s="9" t="s">
        <v>52</v>
      </c>
      <c r="E241" s="1">
        <v>45552</v>
      </c>
      <c r="F241" s="9" t="s">
        <v>26</v>
      </c>
      <c r="G241" s="11">
        <v>40082</v>
      </c>
      <c r="H241" s="8">
        <v>74</v>
      </c>
      <c r="I241" s="8">
        <v>0</v>
      </c>
      <c r="J241" s="1" t="s">
        <v>45</v>
      </c>
    </row>
    <row r="242" spans="1:10" ht="13.8" x14ac:dyDescent="0.25">
      <c r="A242" t="s">
        <v>287</v>
      </c>
      <c r="B242" s="8">
        <v>72</v>
      </c>
      <c r="C242" s="9" t="s">
        <v>16</v>
      </c>
      <c r="D242" s="9" t="s">
        <v>12</v>
      </c>
      <c r="E242" s="1">
        <v>44932</v>
      </c>
      <c r="F242" s="9" t="s">
        <v>29</v>
      </c>
      <c r="G242" s="11">
        <v>25818</v>
      </c>
      <c r="H242" s="8">
        <v>74</v>
      </c>
      <c r="I242" s="8">
        <v>0</v>
      </c>
      <c r="J242" s="1" t="s">
        <v>95</v>
      </c>
    </row>
    <row r="243" spans="1:10" ht="13.8" x14ac:dyDescent="0.25">
      <c r="A243" t="s">
        <v>288</v>
      </c>
      <c r="B243" s="8">
        <v>14</v>
      </c>
      <c r="C243" s="9" t="s">
        <v>16</v>
      </c>
      <c r="D243" s="9" t="s">
        <v>52</v>
      </c>
      <c r="E243" s="1">
        <v>45408</v>
      </c>
      <c r="F243" s="9" t="s">
        <v>53</v>
      </c>
      <c r="G243" s="11">
        <v>17305</v>
      </c>
      <c r="H243" s="8">
        <v>47</v>
      </c>
      <c r="I243" s="8">
        <v>5</v>
      </c>
      <c r="J243" s="1" t="s">
        <v>50</v>
      </c>
    </row>
    <row r="244" spans="1:10" ht="13.8" x14ac:dyDescent="0.25">
      <c r="A244" t="s">
        <v>289</v>
      </c>
      <c r="B244" s="8">
        <v>70</v>
      </c>
      <c r="C244" s="9" t="s">
        <v>16</v>
      </c>
      <c r="D244" s="9" t="s">
        <v>12</v>
      </c>
      <c r="E244" s="1">
        <v>45529</v>
      </c>
      <c r="F244" s="9" t="s">
        <v>26</v>
      </c>
      <c r="G244" s="11">
        <v>31786</v>
      </c>
      <c r="H244" s="8">
        <v>56</v>
      </c>
      <c r="I244" s="8">
        <v>5</v>
      </c>
      <c r="J244" s="1" t="s">
        <v>33</v>
      </c>
    </row>
    <row r="245" spans="1:10" ht="13.8" x14ac:dyDescent="0.25">
      <c r="A245" t="s">
        <v>290</v>
      </c>
      <c r="B245" s="8">
        <v>2</v>
      </c>
      <c r="C245" s="9" t="s">
        <v>16</v>
      </c>
      <c r="D245" s="9" t="s">
        <v>52</v>
      </c>
      <c r="E245" s="1">
        <v>45593</v>
      </c>
      <c r="F245" s="9" t="s">
        <v>53</v>
      </c>
      <c r="G245" s="11">
        <v>37037</v>
      </c>
      <c r="H245" s="8">
        <v>61</v>
      </c>
      <c r="I245" s="8">
        <v>1</v>
      </c>
      <c r="J245" s="1" t="s">
        <v>92</v>
      </c>
    </row>
    <row r="246" spans="1:10" ht="13.8" x14ac:dyDescent="0.25">
      <c r="A246" t="s">
        <v>291</v>
      </c>
      <c r="B246" s="8">
        <v>30</v>
      </c>
      <c r="C246" s="9" t="s">
        <v>11</v>
      </c>
      <c r="D246" s="9" t="s">
        <v>21</v>
      </c>
      <c r="E246" s="1">
        <v>44978</v>
      </c>
      <c r="F246" s="9" t="s">
        <v>22</v>
      </c>
      <c r="G246" s="11">
        <v>41469</v>
      </c>
      <c r="H246" s="8">
        <v>46</v>
      </c>
      <c r="I246" s="8">
        <v>0</v>
      </c>
      <c r="J246" s="1" t="s">
        <v>126</v>
      </c>
    </row>
    <row r="247" spans="1:10" ht="13.8" x14ac:dyDescent="0.25">
      <c r="A247" t="s">
        <v>292</v>
      </c>
      <c r="B247" s="8">
        <v>9</v>
      </c>
      <c r="C247" s="9" t="s">
        <v>16</v>
      </c>
      <c r="D247" s="9" t="s">
        <v>25</v>
      </c>
      <c r="E247" s="1">
        <v>45022</v>
      </c>
      <c r="F247" s="9" t="s">
        <v>26</v>
      </c>
      <c r="G247" s="11">
        <v>31869</v>
      </c>
      <c r="H247" s="8">
        <v>70</v>
      </c>
      <c r="I247" s="8">
        <v>2</v>
      </c>
      <c r="J247" s="1" t="s">
        <v>80</v>
      </c>
    </row>
    <row r="248" spans="1:10" ht="13.8" x14ac:dyDescent="0.25">
      <c r="A248" t="s">
        <v>293</v>
      </c>
      <c r="B248" s="8">
        <v>16</v>
      </c>
      <c r="C248" s="9" t="s">
        <v>11</v>
      </c>
      <c r="D248" s="9" t="s">
        <v>21</v>
      </c>
      <c r="E248" s="1">
        <v>45579</v>
      </c>
      <c r="F248" s="9" t="s">
        <v>53</v>
      </c>
      <c r="G248" s="11">
        <v>49797</v>
      </c>
      <c r="H248" s="8">
        <v>92</v>
      </c>
      <c r="I248" s="8">
        <v>5</v>
      </c>
      <c r="J248" s="1" t="s">
        <v>92</v>
      </c>
    </row>
    <row r="249" spans="1:10" ht="13.8" x14ac:dyDescent="0.25">
      <c r="A249" t="s">
        <v>294</v>
      </c>
      <c r="B249" s="8">
        <v>32</v>
      </c>
      <c r="C249" s="9" t="s">
        <v>11</v>
      </c>
      <c r="D249" s="9" t="s">
        <v>12</v>
      </c>
      <c r="E249" s="1">
        <v>45023</v>
      </c>
      <c r="F249" s="9" t="s">
        <v>53</v>
      </c>
      <c r="G249" s="11">
        <v>22677</v>
      </c>
      <c r="H249" s="8">
        <v>85</v>
      </c>
      <c r="I249" s="8">
        <v>4</v>
      </c>
      <c r="J249" s="1" t="s">
        <v>80</v>
      </c>
    </row>
    <row r="250" spans="1:10" ht="13.8" x14ac:dyDescent="0.25">
      <c r="A250" t="s">
        <v>295</v>
      </c>
      <c r="B250" s="8">
        <v>60</v>
      </c>
      <c r="C250" s="9" t="s">
        <v>11</v>
      </c>
      <c r="D250" s="9" t="s">
        <v>17</v>
      </c>
      <c r="E250" s="1">
        <v>45247</v>
      </c>
      <c r="F250" s="9" t="s">
        <v>53</v>
      </c>
      <c r="G250" s="11">
        <v>14434</v>
      </c>
      <c r="H250" s="8">
        <v>42</v>
      </c>
      <c r="I250" s="8">
        <v>1</v>
      </c>
      <c r="J250" s="1" t="s">
        <v>40</v>
      </c>
    </row>
    <row r="251" spans="1:10" ht="13.8" x14ac:dyDescent="0.25">
      <c r="A251" t="s">
        <v>296</v>
      </c>
      <c r="B251" s="8">
        <v>52</v>
      </c>
      <c r="C251" s="9" t="s">
        <v>11</v>
      </c>
      <c r="D251" s="9" t="s">
        <v>17</v>
      </c>
      <c r="E251" s="1">
        <v>45399</v>
      </c>
      <c r="F251" s="9" t="s">
        <v>29</v>
      </c>
      <c r="G251" s="11">
        <v>39863</v>
      </c>
      <c r="H251" s="8">
        <v>59</v>
      </c>
      <c r="I251" s="8">
        <v>3</v>
      </c>
      <c r="J251" s="1" t="s">
        <v>50</v>
      </c>
    </row>
    <row r="252" spans="1:10" ht="13.8" x14ac:dyDescent="0.25">
      <c r="A252" t="s">
        <v>297</v>
      </c>
      <c r="B252" s="8">
        <v>82</v>
      </c>
      <c r="C252" s="9" t="s">
        <v>16</v>
      </c>
      <c r="D252" s="9" t="s">
        <v>17</v>
      </c>
      <c r="E252" s="1">
        <v>45585</v>
      </c>
      <c r="F252" s="9" t="s">
        <v>53</v>
      </c>
      <c r="G252" s="11">
        <v>45155</v>
      </c>
      <c r="H252" s="8">
        <v>58</v>
      </c>
      <c r="I252" s="8">
        <v>5</v>
      </c>
      <c r="J252" s="1" t="s">
        <v>92</v>
      </c>
    </row>
    <row r="253" spans="1:10" ht="13.8" x14ac:dyDescent="0.25">
      <c r="A253" t="s">
        <v>298</v>
      </c>
      <c r="B253" s="8">
        <v>36</v>
      </c>
      <c r="C253" s="9" t="s">
        <v>16</v>
      </c>
      <c r="D253" s="9" t="s">
        <v>12</v>
      </c>
      <c r="E253" s="1">
        <v>45227</v>
      </c>
      <c r="F253" s="9" t="s">
        <v>53</v>
      </c>
      <c r="G253" s="11">
        <v>11972</v>
      </c>
      <c r="H253" s="8">
        <v>54</v>
      </c>
      <c r="I253" s="8">
        <v>3</v>
      </c>
      <c r="J253" s="1" t="s">
        <v>27</v>
      </c>
    </row>
    <row r="254" spans="1:10" ht="13.8" x14ac:dyDescent="0.25">
      <c r="A254" t="s">
        <v>299</v>
      </c>
      <c r="B254" s="8">
        <v>34</v>
      </c>
      <c r="C254" s="9" t="s">
        <v>11</v>
      </c>
      <c r="D254" s="9" t="s">
        <v>25</v>
      </c>
      <c r="E254" s="1">
        <v>45467</v>
      </c>
      <c r="F254" s="9" t="s">
        <v>26</v>
      </c>
      <c r="G254" s="11">
        <v>38489</v>
      </c>
      <c r="H254" s="8">
        <v>72</v>
      </c>
      <c r="I254" s="8">
        <v>4</v>
      </c>
      <c r="J254" s="1" t="s">
        <v>42</v>
      </c>
    </row>
    <row r="255" spans="1:10" ht="13.8" x14ac:dyDescent="0.25">
      <c r="A255" t="s">
        <v>300</v>
      </c>
      <c r="B255" s="8">
        <v>22</v>
      </c>
      <c r="C255" s="9" t="s">
        <v>16</v>
      </c>
      <c r="D255" s="9" t="s">
        <v>52</v>
      </c>
      <c r="E255" s="1">
        <v>44989</v>
      </c>
      <c r="F255" s="9" t="s">
        <v>26</v>
      </c>
      <c r="G255" s="11">
        <v>34702</v>
      </c>
      <c r="H255" s="8">
        <v>57</v>
      </c>
      <c r="I255" s="8">
        <v>4</v>
      </c>
      <c r="J255" s="1" t="s">
        <v>63</v>
      </c>
    </row>
    <row r="256" spans="1:10" ht="13.8" x14ac:dyDescent="0.25">
      <c r="A256" t="s">
        <v>301</v>
      </c>
      <c r="B256" s="8">
        <v>58</v>
      </c>
      <c r="C256" s="9" t="s">
        <v>11</v>
      </c>
      <c r="D256" s="9" t="s">
        <v>12</v>
      </c>
      <c r="E256" s="1">
        <v>45432</v>
      </c>
      <c r="F256" s="9" t="s">
        <v>13</v>
      </c>
      <c r="G256" s="11">
        <v>19863</v>
      </c>
      <c r="H256" s="8">
        <v>56</v>
      </c>
      <c r="I256" s="8">
        <v>4</v>
      </c>
      <c r="J256" s="1" t="s">
        <v>66</v>
      </c>
    </row>
    <row r="257" spans="1:10" ht="13.8" x14ac:dyDescent="0.25">
      <c r="A257" t="s">
        <v>302</v>
      </c>
      <c r="B257" s="8">
        <v>55</v>
      </c>
      <c r="C257" s="9" t="s">
        <v>16</v>
      </c>
      <c r="D257" s="9" t="s">
        <v>17</v>
      </c>
      <c r="E257" s="1">
        <v>45158</v>
      </c>
      <c r="F257" s="9" t="s">
        <v>18</v>
      </c>
      <c r="G257" s="11">
        <v>25446</v>
      </c>
      <c r="H257" s="8">
        <v>88</v>
      </c>
      <c r="I257" s="8">
        <v>4</v>
      </c>
      <c r="J257" s="1" t="s">
        <v>30</v>
      </c>
    </row>
    <row r="258" spans="1:10" ht="13.8" x14ac:dyDescent="0.25">
      <c r="A258" t="s">
        <v>303</v>
      </c>
      <c r="B258" s="8">
        <v>58</v>
      </c>
      <c r="C258" s="9" t="s">
        <v>16</v>
      </c>
      <c r="D258" s="9" t="s">
        <v>62</v>
      </c>
      <c r="E258" s="1">
        <v>45304</v>
      </c>
      <c r="F258" s="9" t="s">
        <v>53</v>
      </c>
      <c r="G258" s="11">
        <v>31499</v>
      </c>
      <c r="H258" s="8">
        <v>42</v>
      </c>
      <c r="I258" s="8">
        <v>2</v>
      </c>
      <c r="J258" s="1" t="s">
        <v>23</v>
      </c>
    </row>
    <row r="259" spans="1:10" ht="13.8" x14ac:dyDescent="0.25">
      <c r="A259" t="s">
        <v>304</v>
      </c>
      <c r="B259" s="8">
        <v>9</v>
      </c>
      <c r="C259" s="9" t="s">
        <v>16</v>
      </c>
      <c r="D259" s="9" t="s">
        <v>21</v>
      </c>
      <c r="E259" s="1">
        <v>45343</v>
      </c>
      <c r="F259" s="9" t="s">
        <v>18</v>
      </c>
      <c r="G259" s="11">
        <v>19621</v>
      </c>
      <c r="H259" s="8">
        <v>57</v>
      </c>
      <c r="I259" s="8">
        <v>4</v>
      </c>
      <c r="J259" s="1" t="s">
        <v>14</v>
      </c>
    </row>
    <row r="260" spans="1:10" ht="13.8" x14ac:dyDescent="0.25">
      <c r="A260" t="s">
        <v>305</v>
      </c>
      <c r="B260" s="8">
        <v>80</v>
      </c>
      <c r="C260" s="9" t="s">
        <v>11</v>
      </c>
      <c r="D260" s="9" t="s">
        <v>21</v>
      </c>
      <c r="E260" s="1">
        <v>45305</v>
      </c>
      <c r="F260" s="9" t="s">
        <v>18</v>
      </c>
      <c r="G260" s="11">
        <v>33459</v>
      </c>
      <c r="H260" s="8">
        <v>51</v>
      </c>
      <c r="I260" s="8">
        <v>3</v>
      </c>
      <c r="J260" s="1" t="s">
        <v>23</v>
      </c>
    </row>
    <row r="261" spans="1:10" ht="13.8" x14ac:dyDescent="0.25">
      <c r="A261" t="s">
        <v>306</v>
      </c>
      <c r="B261" s="8">
        <v>77</v>
      </c>
      <c r="C261" s="9" t="s">
        <v>11</v>
      </c>
      <c r="D261" s="9" t="s">
        <v>21</v>
      </c>
      <c r="E261" s="1">
        <v>45246</v>
      </c>
      <c r="F261" s="9" t="s">
        <v>29</v>
      </c>
      <c r="G261" s="11">
        <v>8490</v>
      </c>
      <c r="H261" s="8">
        <v>77</v>
      </c>
      <c r="I261" s="8">
        <v>2</v>
      </c>
      <c r="J261" s="1" t="s">
        <v>40</v>
      </c>
    </row>
    <row r="262" spans="1:10" ht="13.8" x14ac:dyDescent="0.25">
      <c r="A262" t="s">
        <v>307</v>
      </c>
      <c r="B262" s="8">
        <v>69</v>
      </c>
      <c r="C262" s="9" t="s">
        <v>11</v>
      </c>
      <c r="D262" s="9" t="s">
        <v>52</v>
      </c>
      <c r="E262" s="1">
        <v>45207</v>
      </c>
      <c r="F262" s="9" t="s">
        <v>53</v>
      </c>
      <c r="G262" s="11">
        <v>5264</v>
      </c>
      <c r="H262" s="8">
        <v>93</v>
      </c>
      <c r="I262" s="8">
        <v>5</v>
      </c>
      <c r="J262" s="1" t="s">
        <v>27</v>
      </c>
    </row>
    <row r="263" spans="1:10" ht="13.8" x14ac:dyDescent="0.25">
      <c r="A263" t="s">
        <v>308</v>
      </c>
      <c r="B263" s="8">
        <v>5</v>
      </c>
      <c r="C263" s="9" t="s">
        <v>16</v>
      </c>
      <c r="D263" s="9" t="s">
        <v>52</v>
      </c>
      <c r="E263" s="1">
        <v>44936</v>
      </c>
      <c r="F263" s="9" t="s">
        <v>22</v>
      </c>
      <c r="G263" s="11">
        <v>10934</v>
      </c>
      <c r="H263" s="8">
        <v>45</v>
      </c>
      <c r="I263" s="8">
        <v>2</v>
      </c>
      <c r="J263" s="1" t="s">
        <v>95</v>
      </c>
    </row>
    <row r="264" spans="1:10" ht="13.8" x14ac:dyDescent="0.25">
      <c r="A264" t="s">
        <v>309</v>
      </c>
      <c r="B264" s="8">
        <v>82</v>
      </c>
      <c r="C264" s="9" t="s">
        <v>16</v>
      </c>
      <c r="D264" s="9" t="s">
        <v>25</v>
      </c>
      <c r="E264" s="1">
        <v>45201</v>
      </c>
      <c r="F264" s="9" t="s">
        <v>29</v>
      </c>
      <c r="G264" s="11">
        <v>9701</v>
      </c>
      <c r="H264" s="8">
        <v>53</v>
      </c>
      <c r="I264" s="8">
        <v>2</v>
      </c>
      <c r="J264" s="1" t="s">
        <v>27</v>
      </c>
    </row>
    <row r="265" spans="1:10" ht="13.8" x14ac:dyDescent="0.25">
      <c r="A265" t="s">
        <v>310</v>
      </c>
      <c r="B265" s="8">
        <v>1</v>
      </c>
      <c r="C265" s="9" t="s">
        <v>16</v>
      </c>
      <c r="D265" s="9" t="s">
        <v>21</v>
      </c>
      <c r="E265" s="1">
        <v>45190</v>
      </c>
      <c r="F265" s="9" t="s">
        <v>13</v>
      </c>
      <c r="G265" s="11">
        <v>11125</v>
      </c>
      <c r="H265" s="8">
        <v>84</v>
      </c>
      <c r="I265" s="8">
        <v>0</v>
      </c>
      <c r="J265" s="1" t="s">
        <v>109</v>
      </c>
    </row>
    <row r="266" spans="1:10" ht="13.8" x14ac:dyDescent="0.25">
      <c r="A266" t="s">
        <v>311</v>
      </c>
      <c r="B266" s="8">
        <v>57</v>
      </c>
      <c r="C266" s="9" t="s">
        <v>16</v>
      </c>
      <c r="D266" s="9" t="s">
        <v>25</v>
      </c>
      <c r="E266" s="1">
        <v>45154</v>
      </c>
      <c r="F266" s="9" t="s">
        <v>29</v>
      </c>
      <c r="G266" s="11">
        <v>37280</v>
      </c>
      <c r="H266" s="8">
        <v>52</v>
      </c>
      <c r="I266" s="8">
        <v>1</v>
      </c>
      <c r="J266" s="1" t="s">
        <v>30</v>
      </c>
    </row>
    <row r="267" spans="1:10" ht="13.8" x14ac:dyDescent="0.25">
      <c r="A267" t="s">
        <v>312</v>
      </c>
      <c r="B267" s="8">
        <v>58</v>
      </c>
      <c r="C267" s="9" t="s">
        <v>11</v>
      </c>
      <c r="D267" s="9" t="s">
        <v>52</v>
      </c>
      <c r="E267" s="1">
        <v>45625</v>
      </c>
      <c r="F267" s="9" t="s">
        <v>18</v>
      </c>
      <c r="G267" s="11">
        <v>7255</v>
      </c>
      <c r="H267" s="8">
        <v>45</v>
      </c>
      <c r="I267" s="8">
        <v>4</v>
      </c>
      <c r="J267" s="1" t="s">
        <v>54</v>
      </c>
    </row>
    <row r="268" spans="1:10" ht="13.8" x14ac:dyDescent="0.25">
      <c r="A268" t="s">
        <v>313</v>
      </c>
      <c r="B268" s="8">
        <v>35</v>
      </c>
      <c r="C268" s="9" t="s">
        <v>16</v>
      </c>
      <c r="D268" s="9" t="s">
        <v>21</v>
      </c>
      <c r="E268" s="1">
        <v>45225</v>
      </c>
      <c r="F268" s="9" t="s">
        <v>22</v>
      </c>
      <c r="G268" s="11">
        <v>14910</v>
      </c>
      <c r="H268" s="8">
        <v>84</v>
      </c>
      <c r="I268" s="8">
        <v>3</v>
      </c>
      <c r="J268" s="1" t="s">
        <v>27</v>
      </c>
    </row>
    <row r="269" spans="1:10" ht="13.8" x14ac:dyDescent="0.25">
      <c r="A269" t="s">
        <v>314</v>
      </c>
      <c r="B269" s="8">
        <v>33</v>
      </c>
      <c r="C269" s="9" t="s">
        <v>11</v>
      </c>
      <c r="D269" s="9" t="s">
        <v>25</v>
      </c>
      <c r="E269" s="1">
        <v>44974</v>
      </c>
      <c r="F269" s="9" t="s">
        <v>29</v>
      </c>
      <c r="G269" s="11">
        <v>16709</v>
      </c>
      <c r="H269" s="8">
        <v>79</v>
      </c>
      <c r="I269" s="8">
        <v>4</v>
      </c>
      <c r="J269" s="1" t="s">
        <v>126</v>
      </c>
    </row>
    <row r="270" spans="1:10" ht="13.8" x14ac:dyDescent="0.25">
      <c r="A270" t="s">
        <v>315</v>
      </c>
      <c r="B270" s="8">
        <v>42</v>
      </c>
      <c r="C270" s="9" t="s">
        <v>11</v>
      </c>
      <c r="D270" s="9" t="s">
        <v>17</v>
      </c>
      <c r="E270" s="1">
        <v>45407</v>
      </c>
      <c r="F270" s="9" t="s">
        <v>29</v>
      </c>
      <c r="G270" s="11">
        <v>37841</v>
      </c>
      <c r="H270" s="8">
        <v>77</v>
      </c>
      <c r="I270" s="8">
        <v>5</v>
      </c>
      <c r="J270" s="1" t="s">
        <v>50</v>
      </c>
    </row>
    <row r="271" spans="1:10" ht="13.8" x14ac:dyDescent="0.25">
      <c r="A271" t="s">
        <v>316</v>
      </c>
      <c r="B271" s="8">
        <v>50</v>
      </c>
      <c r="C271" s="9" t="s">
        <v>11</v>
      </c>
      <c r="D271" s="9" t="s">
        <v>52</v>
      </c>
      <c r="E271" s="1">
        <v>45164</v>
      </c>
      <c r="F271" s="9" t="s">
        <v>29</v>
      </c>
      <c r="G271" s="11">
        <v>15527</v>
      </c>
      <c r="H271" s="8">
        <v>97</v>
      </c>
      <c r="I271" s="8">
        <v>1</v>
      </c>
      <c r="J271" s="1" t="s">
        <v>30</v>
      </c>
    </row>
    <row r="272" spans="1:10" ht="13.8" x14ac:dyDescent="0.25">
      <c r="A272" t="s">
        <v>317</v>
      </c>
      <c r="B272" s="8">
        <v>64</v>
      </c>
      <c r="C272" s="9" t="s">
        <v>16</v>
      </c>
      <c r="D272" s="9" t="s">
        <v>17</v>
      </c>
      <c r="E272" s="1">
        <v>45335</v>
      </c>
      <c r="F272" s="9" t="s">
        <v>22</v>
      </c>
      <c r="G272" s="11">
        <v>16520</v>
      </c>
      <c r="H272" s="8">
        <v>94</v>
      </c>
      <c r="I272" s="8">
        <v>0</v>
      </c>
      <c r="J272" s="1" t="s">
        <v>14</v>
      </c>
    </row>
    <row r="273" spans="1:10" ht="13.8" x14ac:dyDescent="0.25">
      <c r="A273" t="s">
        <v>318</v>
      </c>
      <c r="B273" s="8">
        <v>65</v>
      </c>
      <c r="C273" s="9" t="s">
        <v>11</v>
      </c>
      <c r="D273" s="9" t="s">
        <v>21</v>
      </c>
      <c r="E273" s="1">
        <v>45031</v>
      </c>
      <c r="F273" s="9" t="s">
        <v>26</v>
      </c>
      <c r="G273" s="11">
        <v>16556</v>
      </c>
      <c r="H273" s="8">
        <v>97</v>
      </c>
      <c r="I273" s="8">
        <v>5</v>
      </c>
      <c r="J273" s="1" t="s">
        <v>80</v>
      </c>
    </row>
    <row r="274" spans="1:10" ht="13.8" x14ac:dyDescent="0.25">
      <c r="A274" t="s">
        <v>319</v>
      </c>
      <c r="B274" s="8">
        <v>52</v>
      </c>
      <c r="C274" s="9" t="s">
        <v>16</v>
      </c>
      <c r="D274" s="9" t="s">
        <v>25</v>
      </c>
      <c r="E274" s="1">
        <v>45023</v>
      </c>
      <c r="F274" s="9" t="s">
        <v>29</v>
      </c>
      <c r="G274" s="11">
        <v>23213</v>
      </c>
      <c r="H274" s="8">
        <v>41</v>
      </c>
      <c r="I274" s="8">
        <v>0</v>
      </c>
      <c r="J274" s="1" t="s">
        <v>80</v>
      </c>
    </row>
    <row r="275" spans="1:10" ht="13.8" x14ac:dyDescent="0.25">
      <c r="A275" t="s">
        <v>320</v>
      </c>
      <c r="B275" s="8">
        <v>85</v>
      </c>
      <c r="C275" s="9" t="s">
        <v>16</v>
      </c>
      <c r="D275" s="9" t="s">
        <v>52</v>
      </c>
      <c r="E275" s="1">
        <v>45163</v>
      </c>
      <c r="F275" s="9" t="s">
        <v>26</v>
      </c>
      <c r="G275" s="11">
        <v>47537</v>
      </c>
      <c r="H275" s="8">
        <v>70</v>
      </c>
      <c r="I275" s="8">
        <v>5</v>
      </c>
      <c r="J275" s="1" t="s">
        <v>30</v>
      </c>
    </row>
    <row r="276" spans="1:10" ht="13.8" x14ac:dyDescent="0.25">
      <c r="A276" t="s">
        <v>321</v>
      </c>
      <c r="B276" s="8">
        <v>68</v>
      </c>
      <c r="C276" s="9" t="s">
        <v>16</v>
      </c>
      <c r="D276" s="9" t="s">
        <v>12</v>
      </c>
      <c r="E276" s="1">
        <v>45224</v>
      </c>
      <c r="F276" s="9" t="s">
        <v>29</v>
      </c>
      <c r="G276" s="11">
        <v>33416</v>
      </c>
      <c r="H276" s="8">
        <v>86</v>
      </c>
      <c r="I276" s="8">
        <v>0</v>
      </c>
      <c r="J276" s="1" t="s">
        <v>27</v>
      </c>
    </row>
    <row r="277" spans="1:10" ht="13.8" x14ac:dyDescent="0.25">
      <c r="A277" t="s">
        <v>322</v>
      </c>
      <c r="B277" s="8">
        <v>64</v>
      </c>
      <c r="C277" s="9" t="s">
        <v>16</v>
      </c>
      <c r="D277" s="9" t="s">
        <v>25</v>
      </c>
      <c r="E277" s="1">
        <v>45116</v>
      </c>
      <c r="F277" s="9" t="s">
        <v>13</v>
      </c>
      <c r="G277" s="11">
        <v>13220</v>
      </c>
      <c r="H277" s="8">
        <v>97</v>
      </c>
      <c r="I277" s="8">
        <v>2</v>
      </c>
      <c r="J277" s="1" t="s">
        <v>78</v>
      </c>
    </row>
    <row r="278" spans="1:10" ht="13.8" x14ac:dyDescent="0.25">
      <c r="A278" t="s">
        <v>323</v>
      </c>
      <c r="B278" s="8">
        <v>75</v>
      </c>
      <c r="C278" s="9" t="s">
        <v>11</v>
      </c>
      <c r="D278" s="9" t="s">
        <v>62</v>
      </c>
      <c r="E278" s="1">
        <v>45478</v>
      </c>
      <c r="F278" s="9" t="s">
        <v>22</v>
      </c>
      <c r="G278" s="11">
        <v>34026</v>
      </c>
      <c r="H278" s="8">
        <v>40</v>
      </c>
      <c r="I278" s="8">
        <v>0</v>
      </c>
      <c r="J278" s="1" t="s">
        <v>19</v>
      </c>
    </row>
    <row r="279" spans="1:10" ht="13.8" x14ac:dyDescent="0.25">
      <c r="A279" t="s">
        <v>324</v>
      </c>
      <c r="B279" s="8">
        <v>73</v>
      </c>
      <c r="C279" s="9" t="s">
        <v>11</v>
      </c>
      <c r="D279" s="9" t="s">
        <v>62</v>
      </c>
      <c r="E279" s="1">
        <v>45166</v>
      </c>
      <c r="F279" s="9" t="s">
        <v>13</v>
      </c>
      <c r="G279" s="11">
        <v>19392</v>
      </c>
      <c r="H279" s="8">
        <v>87</v>
      </c>
      <c r="I279" s="8">
        <v>2</v>
      </c>
      <c r="J279" s="1" t="s">
        <v>30</v>
      </c>
    </row>
    <row r="280" spans="1:10" ht="13.8" x14ac:dyDescent="0.25">
      <c r="A280" t="s">
        <v>325</v>
      </c>
      <c r="B280" s="8">
        <v>49</v>
      </c>
      <c r="C280" s="9" t="s">
        <v>11</v>
      </c>
      <c r="D280" s="9" t="s">
        <v>52</v>
      </c>
      <c r="E280" s="1">
        <v>45539</v>
      </c>
      <c r="F280" s="9" t="s">
        <v>18</v>
      </c>
      <c r="G280" s="11">
        <v>38563</v>
      </c>
      <c r="H280" s="8">
        <v>49</v>
      </c>
      <c r="I280" s="8">
        <v>4</v>
      </c>
      <c r="J280" s="1" t="s">
        <v>45</v>
      </c>
    </row>
    <row r="281" spans="1:10" ht="13.8" x14ac:dyDescent="0.25">
      <c r="A281" t="s">
        <v>326</v>
      </c>
      <c r="B281" s="8">
        <v>27</v>
      </c>
      <c r="C281" s="9" t="s">
        <v>16</v>
      </c>
      <c r="D281" s="9" t="s">
        <v>62</v>
      </c>
      <c r="E281" s="1">
        <v>45513</v>
      </c>
      <c r="F281" s="9" t="s">
        <v>29</v>
      </c>
      <c r="G281" s="11">
        <v>32080</v>
      </c>
      <c r="H281" s="8">
        <v>63</v>
      </c>
      <c r="I281" s="8">
        <v>1</v>
      </c>
      <c r="J281" s="1" t="s">
        <v>33</v>
      </c>
    </row>
    <row r="282" spans="1:10" ht="13.8" x14ac:dyDescent="0.25">
      <c r="A282" t="s">
        <v>327</v>
      </c>
      <c r="B282" s="8">
        <v>17</v>
      </c>
      <c r="C282" s="9" t="s">
        <v>16</v>
      </c>
      <c r="D282" s="9" t="s">
        <v>17</v>
      </c>
      <c r="E282" s="1">
        <v>45098</v>
      </c>
      <c r="F282" s="9" t="s">
        <v>22</v>
      </c>
      <c r="G282" s="11">
        <v>9701</v>
      </c>
      <c r="H282" s="8">
        <v>96</v>
      </c>
      <c r="I282" s="8">
        <v>3</v>
      </c>
      <c r="J282" s="1" t="s">
        <v>38</v>
      </c>
    </row>
    <row r="283" spans="1:10" ht="13.8" x14ac:dyDescent="0.25">
      <c r="A283" t="s">
        <v>328</v>
      </c>
      <c r="B283" s="8">
        <v>88</v>
      </c>
      <c r="C283" s="9" t="s">
        <v>11</v>
      </c>
      <c r="D283" s="9" t="s">
        <v>21</v>
      </c>
      <c r="E283" s="1">
        <v>45383</v>
      </c>
      <c r="F283" s="9" t="s">
        <v>53</v>
      </c>
      <c r="G283" s="11">
        <v>31793</v>
      </c>
      <c r="H283" s="8">
        <v>68</v>
      </c>
      <c r="I283" s="8">
        <v>0</v>
      </c>
      <c r="J283" s="1" t="s">
        <v>50</v>
      </c>
    </row>
    <row r="284" spans="1:10" ht="13.8" x14ac:dyDescent="0.25">
      <c r="A284" t="s">
        <v>329</v>
      </c>
      <c r="B284" s="8">
        <v>9</v>
      </c>
      <c r="C284" s="9" t="s">
        <v>16</v>
      </c>
      <c r="D284" s="9" t="s">
        <v>17</v>
      </c>
      <c r="E284" s="1">
        <v>45051</v>
      </c>
      <c r="F284" s="9" t="s">
        <v>13</v>
      </c>
      <c r="G284" s="11">
        <v>19326</v>
      </c>
      <c r="H284" s="8">
        <v>54</v>
      </c>
      <c r="I284" s="8">
        <v>4</v>
      </c>
      <c r="J284" s="1" t="s">
        <v>35</v>
      </c>
    </row>
    <row r="285" spans="1:10" ht="13.8" x14ac:dyDescent="0.25">
      <c r="A285" t="s">
        <v>330</v>
      </c>
      <c r="B285" s="8">
        <v>24</v>
      </c>
      <c r="C285" s="9" t="s">
        <v>16</v>
      </c>
      <c r="D285" s="9" t="s">
        <v>62</v>
      </c>
      <c r="E285" s="1">
        <v>45176</v>
      </c>
      <c r="F285" s="9" t="s">
        <v>29</v>
      </c>
      <c r="G285" s="11">
        <v>19700</v>
      </c>
      <c r="H285" s="8">
        <v>53</v>
      </c>
      <c r="I285" s="8">
        <v>1</v>
      </c>
      <c r="J285" s="1" t="s">
        <v>109</v>
      </c>
    </row>
    <row r="286" spans="1:10" ht="13.8" x14ac:dyDescent="0.25">
      <c r="A286" t="s">
        <v>331</v>
      </c>
      <c r="B286" s="8">
        <v>83</v>
      </c>
      <c r="C286" s="9" t="s">
        <v>16</v>
      </c>
      <c r="D286" s="9" t="s">
        <v>21</v>
      </c>
      <c r="E286" s="1">
        <v>44965</v>
      </c>
      <c r="F286" s="9" t="s">
        <v>22</v>
      </c>
      <c r="G286" s="11">
        <v>31308</v>
      </c>
      <c r="H286" s="8">
        <v>89</v>
      </c>
      <c r="I286" s="8">
        <v>5</v>
      </c>
      <c r="J286" s="1" t="s">
        <v>126</v>
      </c>
    </row>
    <row r="287" spans="1:10" ht="13.8" x14ac:dyDescent="0.25">
      <c r="A287" t="s">
        <v>332</v>
      </c>
      <c r="B287" s="8">
        <v>46</v>
      </c>
      <c r="C287" s="9" t="s">
        <v>11</v>
      </c>
      <c r="D287" s="9" t="s">
        <v>12</v>
      </c>
      <c r="E287" s="1">
        <v>45248</v>
      </c>
      <c r="F287" s="9" t="s">
        <v>53</v>
      </c>
      <c r="G287" s="11">
        <v>48248</v>
      </c>
      <c r="H287" s="8">
        <v>70</v>
      </c>
      <c r="I287" s="8">
        <v>5</v>
      </c>
      <c r="J287" s="1" t="s">
        <v>40</v>
      </c>
    </row>
    <row r="288" spans="1:10" ht="13.8" x14ac:dyDescent="0.25">
      <c r="A288" t="s">
        <v>333</v>
      </c>
      <c r="B288" s="8">
        <v>74</v>
      </c>
      <c r="C288" s="9" t="s">
        <v>16</v>
      </c>
      <c r="D288" s="9" t="s">
        <v>12</v>
      </c>
      <c r="E288" s="1">
        <v>45581</v>
      </c>
      <c r="F288" s="9" t="s">
        <v>29</v>
      </c>
      <c r="G288" s="11">
        <v>49597</v>
      </c>
      <c r="H288" s="8">
        <v>84</v>
      </c>
      <c r="I288" s="8">
        <v>4</v>
      </c>
      <c r="J288" s="1" t="s">
        <v>92</v>
      </c>
    </row>
    <row r="289" spans="1:10" ht="13.8" x14ac:dyDescent="0.25">
      <c r="A289" t="s">
        <v>334</v>
      </c>
      <c r="B289" s="8">
        <v>85</v>
      </c>
      <c r="C289" s="9" t="s">
        <v>11</v>
      </c>
      <c r="D289" s="9" t="s">
        <v>25</v>
      </c>
      <c r="E289" s="1">
        <v>45533</v>
      </c>
      <c r="F289" s="9" t="s">
        <v>26</v>
      </c>
      <c r="G289" s="11">
        <v>49897</v>
      </c>
      <c r="H289" s="8">
        <v>80</v>
      </c>
      <c r="I289" s="8">
        <v>3</v>
      </c>
      <c r="J289" s="1" t="s">
        <v>33</v>
      </c>
    </row>
    <row r="290" spans="1:10" ht="13.8" x14ac:dyDescent="0.25">
      <c r="A290" t="s">
        <v>335</v>
      </c>
      <c r="B290" s="8">
        <v>70</v>
      </c>
      <c r="C290" s="9" t="s">
        <v>11</v>
      </c>
      <c r="D290" s="9" t="s">
        <v>17</v>
      </c>
      <c r="E290" s="1">
        <v>45512</v>
      </c>
      <c r="F290" s="9" t="s">
        <v>13</v>
      </c>
      <c r="G290" s="11">
        <v>13555</v>
      </c>
      <c r="H290" s="8">
        <v>57</v>
      </c>
      <c r="I290" s="8">
        <v>0</v>
      </c>
      <c r="J290" s="1" t="s">
        <v>33</v>
      </c>
    </row>
    <row r="291" spans="1:10" ht="13.8" x14ac:dyDescent="0.25">
      <c r="A291" t="s">
        <v>336</v>
      </c>
      <c r="B291" s="8">
        <v>8</v>
      </c>
      <c r="C291" s="9" t="s">
        <v>16</v>
      </c>
      <c r="D291" s="9" t="s">
        <v>62</v>
      </c>
      <c r="E291" s="1">
        <v>45347</v>
      </c>
      <c r="F291" s="9" t="s">
        <v>26</v>
      </c>
      <c r="G291" s="11">
        <v>18947</v>
      </c>
      <c r="H291" s="8">
        <v>46</v>
      </c>
      <c r="I291" s="8">
        <v>5</v>
      </c>
      <c r="J291" s="1" t="s">
        <v>14</v>
      </c>
    </row>
    <row r="292" spans="1:10" ht="13.8" x14ac:dyDescent="0.25">
      <c r="A292" t="s">
        <v>337</v>
      </c>
      <c r="B292" s="8">
        <v>70</v>
      </c>
      <c r="C292" s="9" t="s">
        <v>16</v>
      </c>
      <c r="D292" s="9" t="s">
        <v>12</v>
      </c>
      <c r="E292" s="1">
        <v>45405</v>
      </c>
      <c r="F292" s="9" t="s">
        <v>26</v>
      </c>
      <c r="G292" s="11">
        <v>11899</v>
      </c>
      <c r="H292" s="8">
        <v>55</v>
      </c>
      <c r="I292" s="8">
        <v>3</v>
      </c>
      <c r="J292" s="1" t="s">
        <v>50</v>
      </c>
    </row>
    <row r="293" spans="1:10" ht="13.8" x14ac:dyDescent="0.25">
      <c r="A293" t="s">
        <v>338</v>
      </c>
      <c r="B293" s="8">
        <v>18</v>
      </c>
      <c r="C293" s="9" t="s">
        <v>11</v>
      </c>
      <c r="D293" s="9" t="s">
        <v>17</v>
      </c>
      <c r="E293" s="1">
        <v>45263</v>
      </c>
      <c r="F293" s="9" t="s">
        <v>26</v>
      </c>
      <c r="G293" s="11">
        <v>10378</v>
      </c>
      <c r="H293" s="8">
        <v>95</v>
      </c>
      <c r="I293" s="8">
        <v>4</v>
      </c>
      <c r="J293" s="1" t="s">
        <v>57</v>
      </c>
    </row>
    <row r="294" spans="1:10" ht="13.8" x14ac:dyDescent="0.25">
      <c r="A294" t="s">
        <v>339</v>
      </c>
      <c r="B294" s="8">
        <v>27</v>
      </c>
      <c r="C294" s="9" t="s">
        <v>16</v>
      </c>
      <c r="D294" s="9" t="s">
        <v>62</v>
      </c>
      <c r="E294" s="1">
        <v>45149</v>
      </c>
      <c r="F294" s="9" t="s">
        <v>18</v>
      </c>
      <c r="G294" s="11">
        <v>48049</v>
      </c>
      <c r="H294" s="8">
        <v>50</v>
      </c>
      <c r="I294" s="8">
        <v>2</v>
      </c>
      <c r="J294" s="1" t="s">
        <v>30</v>
      </c>
    </row>
    <row r="295" spans="1:10" ht="13.8" x14ac:dyDescent="0.25">
      <c r="A295" t="s">
        <v>340</v>
      </c>
      <c r="B295" s="8">
        <v>55</v>
      </c>
      <c r="C295" s="9" t="s">
        <v>11</v>
      </c>
      <c r="D295" s="9" t="s">
        <v>25</v>
      </c>
      <c r="E295" s="1">
        <v>45388</v>
      </c>
      <c r="F295" s="9" t="s">
        <v>29</v>
      </c>
      <c r="G295" s="11">
        <v>19748</v>
      </c>
      <c r="H295" s="8">
        <v>94</v>
      </c>
      <c r="I295" s="8">
        <v>0</v>
      </c>
      <c r="J295" s="1" t="s">
        <v>50</v>
      </c>
    </row>
    <row r="296" spans="1:10" ht="13.8" x14ac:dyDescent="0.25">
      <c r="A296" t="s">
        <v>341</v>
      </c>
      <c r="B296" s="8">
        <v>78</v>
      </c>
      <c r="C296" s="9" t="s">
        <v>11</v>
      </c>
      <c r="D296" s="9" t="s">
        <v>52</v>
      </c>
      <c r="E296" s="1">
        <v>45602</v>
      </c>
      <c r="F296" s="9" t="s">
        <v>22</v>
      </c>
      <c r="G296" s="11">
        <v>44524</v>
      </c>
      <c r="H296" s="8">
        <v>90</v>
      </c>
      <c r="I296" s="8">
        <v>4</v>
      </c>
      <c r="J296" s="1" t="s">
        <v>54</v>
      </c>
    </row>
    <row r="297" spans="1:10" ht="13.8" x14ac:dyDescent="0.25">
      <c r="A297" t="s">
        <v>342</v>
      </c>
      <c r="B297" s="8">
        <v>19</v>
      </c>
      <c r="C297" s="9" t="s">
        <v>16</v>
      </c>
      <c r="D297" s="9" t="s">
        <v>62</v>
      </c>
      <c r="E297" s="1">
        <v>45410</v>
      </c>
      <c r="F297" s="9" t="s">
        <v>26</v>
      </c>
      <c r="G297" s="11">
        <v>17159</v>
      </c>
      <c r="H297" s="8">
        <v>71</v>
      </c>
      <c r="I297" s="8">
        <v>5</v>
      </c>
      <c r="J297" s="1" t="s">
        <v>50</v>
      </c>
    </row>
    <row r="298" spans="1:10" ht="13.8" x14ac:dyDescent="0.25">
      <c r="A298" t="s">
        <v>343</v>
      </c>
      <c r="B298" s="8">
        <v>69</v>
      </c>
      <c r="C298" s="9" t="s">
        <v>11</v>
      </c>
      <c r="D298" s="9" t="s">
        <v>25</v>
      </c>
      <c r="E298" s="1">
        <v>45212</v>
      </c>
      <c r="F298" s="9" t="s">
        <v>26</v>
      </c>
      <c r="G298" s="11">
        <v>45068</v>
      </c>
      <c r="H298" s="8">
        <v>70</v>
      </c>
      <c r="I298" s="8">
        <v>5</v>
      </c>
      <c r="J298" s="1" t="s">
        <v>27</v>
      </c>
    </row>
    <row r="299" spans="1:10" ht="13.8" x14ac:dyDescent="0.25">
      <c r="A299" t="s">
        <v>344</v>
      </c>
      <c r="B299" s="8">
        <v>58</v>
      </c>
      <c r="C299" s="9" t="s">
        <v>16</v>
      </c>
      <c r="D299" s="9" t="s">
        <v>12</v>
      </c>
      <c r="E299" s="1">
        <v>45174</v>
      </c>
      <c r="F299" s="9" t="s">
        <v>29</v>
      </c>
      <c r="G299" s="11">
        <v>16181</v>
      </c>
      <c r="H299" s="8">
        <v>78</v>
      </c>
      <c r="I299" s="8">
        <v>5</v>
      </c>
      <c r="J299" s="1" t="s">
        <v>109</v>
      </c>
    </row>
    <row r="300" spans="1:10" ht="13.8" x14ac:dyDescent="0.25">
      <c r="A300" t="s">
        <v>345</v>
      </c>
      <c r="B300" s="8">
        <v>55</v>
      </c>
      <c r="C300" s="9" t="s">
        <v>11</v>
      </c>
      <c r="D300" s="9" t="s">
        <v>12</v>
      </c>
      <c r="E300" s="1">
        <v>45298</v>
      </c>
      <c r="F300" s="9" t="s">
        <v>53</v>
      </c>
      <c r="G300" s="11">
        <v>20127</v>
      </c>
      <c r="H300" s="8">
        <v>74</v>
      </c>
      <c r="I300" s="8">
        <v>4</v>
      </c>
      <c r="J300" s="1" t="s">
        <v>23</v>
      </c>
    </row>
    <row r="301" spans="1:10" ht="13.8" x14ac:dyDescent="0.25">
      <c r="A301" t="s">
        <v>346</v>
      </c>
      <c r="B301" s="8">
        <v>80</v>
      </c>
      <c r="C301" s="9" t="s">
        <v>11</v>
      </c>
      <c r="D301" s="9" t="s">
        <v>25</v>
      </c>
      <c r="E301" s="1">
        <v>45399</v>
      </c>
      <c r="F301" s="9" t="s">
        <v>22</v>
      </c>
      <c r="G301" s="11">
        <v>8086</v>
      </c>
      <c r="H301" s="8">
        <v>64</v>
      </c>
      <c r="I301" s="8">
        <v>1</v>
      </c>
      <c r="J301" s="1" t="s">
        <v>50</v>
      </c>
    </row>
    <row r="302" spans="1:10" ht="13.8" x14ac:dyDescent="0.25">
      <c r="A302" t="s">
        <v>347</v>
      </c>
      <c r="B302" s="8">
        <v>52</v>
      </c>
      <c r="C302" s="9" t="s">
        <v>11</v>
      </c>
      <c r="D302" s="9" t="s">
        <v>62</v>
      </c>
      <c r="E302" s="1">
        <v>45235</v>
      </c>
      <c r="F302" s="9" t="s">
        <v>22</v>
      </c>
      <c r="G302" s="11">
        <v>36831</v>
      </c>
      <c r="H302" s="8">
        <v>91</v>
      </c>
      <c r="I302" s="8">
        <v>2</v>
      </c>
      <c r="J302" s="1" t="s">
        <v>40</v>
      </c>
    </row>
    <row r="303" spans="1:10" ht="13.8" x14ac:dyDescent="0.25">
      <c r="A303" t="s">
        <v>348</v>
      </c>
      <c r="B303" s="8">
        <v>51</v>
      </c>
      <c r="C303" s="9" t="s">
        <v>16</v>
      </c>
      <c r="D303" s="9" t="s">
        <v>12</v>
      </c>
      <c r="E303" s="1">
        <v>45225</v>
      </c>
      <c r="F303" s="9" t="s">
        <v>29</v>
      </c>
      <c r="G303" s="11">
        <v>27369</v>
      </c>
      <c r="H303" s="8">
        <v>57</v>
      </c>
      <c r="I303" s="8">
        <v>0</v>
      </c>
      <c r="J303" s="1" t="s">
        <v>27</v>
      </c>
    </row>
    <row r="304" spans="1:10" ht="13.8" x14ac:dyDescent="0.25">
      <c r="A304" t="s">
        <v>349</v>
      </c>
      <c r="B304" s="8">
        <v>48</v>
      </c>
      <c r="C304" s="9" t="s">
        <v>16</v>
      </c>
      <c r="D304" s="9" t="s">
        <v>52</v>
      </c>
      <c r="E304" s="1">
        <v>45434</v>
      </c>
      <c r="F304" s="9" t="s">
        <v>26</v>
      </c>
      <c r="G304" s="11">
        <v>17723</v>
      </c>
      <c r="H304" s="8">
        <v>82</v>
      </c>
      <c r="I304" s="8">
        <v>0</v>
      </c>
      <c r="J304" s="1" t="s">
        <v>66</v>
      </c>
    </row>
    <row r="305" spans="1:10" ht="13.8" x14ac:dyDescent="0.25">
      <c r="A305" t="s">
        <v>350</v>
      </c>
      <c r="B305" s="8">
        <v>58</v>
      </c>
      <c r="C305" s="9" t="s">
        <v>11</v>
      </c>
      <c r="D305" s="9" t="s">
        <v>12</v>
      </c>
      <c r="E305" s="1">
        <v>45186</v>
      </c>
      <c r="F305" s="9" t="s">
        <v>22</v>
      </c>
      <c r="G305" s="11">
        <v>39160</v>
      </c>
      <c r="H305" s="8">
        <v>61</v>
      </c>
      <c r="I305" s="8">
        <v>4</v>
      </c>
      <c r="J305" s="1" t="s">
        <v>109</v>
      </c>
    </row>
    <row r="306" spans="1:10" ht="13.8" x14ac:dyDescent="0.25">
      <c r="A306" t="s">
        <v>351</v>
      </c>
      <c r="B306" s="8">
        <v>19</v>
      </c>
      <c r="C306" s="9" t="s">
        <v>11</v>
      </c>
      <c r="D306" s="9" t="s">
        <v>25</v>
      </c>
      <c r="E306" s="1">
        <v>45265</v>
      </c>
      <c r="F306" s="9" t="s">
        <v>13</v>
      </c>
      <c r="G306" s="11">
        <v>9773</v>
      </c>
      <c r="H306" s="8">
        <v>86</v>
      </c>
      <c r="I306" s="8">
        <v>3</v>
      </c>
      <c r="J306" s="1" t="s">
        <v>57</v>
      </c>
    </row>
    <row r="307" spans="1:10" ht="13.8" x14ac:dyDescent="0.25">
      <c r="A307" t="s">
        <v>352</v>
      </c>
      <c r="B307" s="8">
        <v>45</v>
      </c>
      <c r="C307" s="9" t="s">
        <v>16</v>
      </c>
      <c r="D307" s="9" t="s">
        <v>52</v>
      </c>
      <c r="E307" s="1">
        <v>45064</v>
      </c>
      <c r="F307" s="9" t="s">
        <v>26</v>
      </c>
      <c r="G307" s="11">
        <v>28191</v>
      </c>
      <c r="H307" s="8">
        <v>58</v>
      </c>
      <c r="I307" s="8">
        <v>1</v>
      </c>
      <c r="J307" s="1" t="s">
        <v>35</v>
      </c>
    </row>
    <row r="308" spans="1:10" ht="13.8" x14ac:dyDescent="0.25">
      <c r="A308" t="s">
        <v>353</v>
      </c>
      <c r="B308" s="8">
        <v>34</v>
      </c>
      <c r="C308" s="9" t="s">
        <v>16</v>
      </c>
      <c r="D308" s="9" t="s">
        <v>25</v>
      </c>
      <c r="E308" s="1">
        <v>45523</v>
      </c>
      <c r="F308" s="9" t="s">
        <v>18</v>
      </c>
      <c r="G308" s="11">
        <v>41258</v>
      </c>
      <c r="H308" s="8">
        <v>74</v>
      </c>
      <c r="I308" s="8">
        <v>3</v>
      </c>
      <c r="J308" s="1" t="s">
        <v>33</v>
      </c>
    </row>
    <row r="309" spans="1:10" ht="13.8" x14ac:dyDescent="0.25">
      <c r="A309" t="s">
        <v>354</v>
      </c>
      <c r="B309" s="8">
        <v>8</v>
      </c>
      <c r="C309" s="9" t="s">
        <v>11</v>
      </c>
      <c r="D309" s="9" t="s">
        <v>52</v>
      </c>
      <c r="E309" s="1">
        <v>45336</v>
      </c>
      <c r="F309" s="9" t="s">
        <v>26</v>
      </c>
      <c r="G309" s="11">
        <v>20888</v>
      </c>
      <c r="H309" s="8">
        <v>86</v>
      </c>
      <c r="I309" s="8">
        <v>5</v>
      </c>
      <c r="J309" s="1" t="s">
        <v>14</v>
      </c>
    </row>
    <row r="310" spans="1:10" ht="13.8" x14ac:dyDescent="0.25">
      <c r="A310" t="s">
        <v>355</v>
      </c>
      <c r="B310" s="8">
        <v>41</v>
      </c>
      <c r="C310" s="9" t="s">
        <v>11</v>
      </c>
      <c r="D310" s="9" t="s">
        <v>25</v>
      </c>
      <c r="E310" s="1">
        <v>45612</v>
      </c>
      <c r="F310" s="9" t="s">
        <v>13</v>
      </c>
      <c r="G310" s="11">
        <v>44626</v>
      </c>
      <c r="H310" s="8">
        <v>62</v>
      </c>
      <c r="I310" s="8">
        <v>5</v>
      </c>
      <c r="J310" s="1" t="s">
        <v>54</v>
      </c>
    </row>
    <row r="311" spans="1:10" ht="13.8" x14ac:dyDescent="0.25">
      <c r="A311" t="s">
        <v>356</v>
      </c>
      <c r="B311" s="8">
        <v>9</v>
      </c>
      <c r="C311" s="9" t="s">
        <v>11</v>
      </c>
      <c r="D311" s="9" t="s">
        <v>12</v>
      </c>
      <c r="E311" s="1">
        <v>45384</v>
      </c>
      <c r="F311" s="9" t="s">
        <v>22</v>
      </c>
      <c r="G311" s="11">
        <v>48508</v>
      </c>
      <c r="H311" s="8">
        <v>62</v>
      </c>
      <c r="I311" s="8">
        <v>3</v>
      </c>
      <c r="J311" s="1" t="s">
        <v>50</v>
      </c>
    </row>
    <row r="312" spans="1:10" ht="13.8" x14ac:dyDescent="0.25">
      <c r="A312" t="s">
        <v>357</v>
      </c>
      <c r="B312" s="8">
        <v>51</v>
      </c>
      <c r="C312" s="9" t="s">
        <v>11</v>
      </c>
      <c r="D312" s="9" t="s">
        <v>21</v>
      </c>
      <c r="E312" s="1">
        <v>45273</v>
      </c>
      <c r="F312" s="9" t="s">
        <v>22</v>
      </c>
      <c r="G312" s="11">
        <v>7551</v>
      </c>
      <c r="H312" s="8">
        <v>50</v>
      </c>
      <c r="I312" s="8">
        <v>2</v>
      </c>
      <c r="J312" s="1" t="s">
        <v>57</v>
      </c>
    </row>
    <row r="313" spans="1:10" ht="13.8" x14ac:dyDescent="0.25">
      <c r="A313" t="s">
        <v>358</v>
      </c>
      <c r="B313" s="8">
        <v>42</v>
      </c>
      <c r="C313" s="9" t="s">
        <v>16</v>
      </c>
      <c r="D313" s="9" t="s">
        <v>12</v>
      </c>
      <c r="E313" s="1">
        <v>45490</v>
      </c>
      <c r="F313" s="9" t="s">
        <v>53</v>
      </c>
      <c r="G313" s="11">
        <v>29205</v>
      </c>
      <c r="H313" s="8">
        <v>96</v>
      </c>
      <c r="I313" s="8">
        <v>3</v>
      </c>
      <c r="J313" s="1" t="s">
        <v>19</v>
      </c>
    </row>
    <row r="314" spans="1:10" ht="13.8" x14ac:dyDescent="0.25">
      <c r="A314" t="s">
        <v>359</v>
      </c>
      <c r="B314" s="8">
        <v>81</v>
      </c>
      <c r="C314" s="9" t="s">
        <v>16</v>
      </c>
      <c r="D314" s="9" t="s">
        <v>52</v>
      </c>
      <c r="E314" s="1">
        <v>45009</v>
      </c>
      <c r="F314" s="9" t="s">
        <v>13</v>
      </c>
      <c r="G314" s="11">
        <v>10326</v>
      </c>
      <c r="H314" s="8">
        <v>43</v>
      </c>
      <c r="I314" s="8">
        <v>3</v>
      </c>
      <c r="J314" s="1" t="s">
        <v>63</v>
      </c>
    </row>
    <row r="315" spans="1:10" ht="13.8" x14ac:dyDescent="0.25">
      <c r="A315" t="s">
        <v>360</v>
      </c>
      <c r="B315" s="8">
        <v>84</v>
      </c>
      <c r="C315" s="9" t="s">
        <v>11</v>
      </c>
      <c r="D315" s="9" t="s">
        <v>17</v>
      </c>
      <c r="E315" s="1">
        <v>45011</v>
      </c>
      <c r="F315" s="9" t="s">
        <v>26</v>
      </c>
      <c r="G315" s="11">
        <v>38858</v>
      </c>
      <c r="H315" s="8">
        <v>59</v>
      </c>
      <c r="I315" s="8">
        <v>0</v>
      </c>
      <c r="J315" s="1" t="s">
        <v>63</v>
      </c>
    </row>
    <row r="316" spans="1:10" ht="13.8" x14ac:dyDescent="0.25">
      <c r="A316" t="s">
        <v>361</v>
      </c>
      <c r="B316" s="8">
        <v>83</v>
      </c>
      <c r="C316" s="9" t="s">
        <v>11</v>
      </c>
      <c r="D316" s="9" t="s">
        <v>25</v>
      </c>
      <c r="E316" s="1">
        <v>45453</v>
      </c>
      <c r="F316" s="9" t="s">
        <v>29</v>
      </c>
      <c r="G316" s="11">
        <v>15058</v>
      </c>
      <c r="H316" s="8">
        <v>83</v>
      </c>
      <c r="I316" s="8">
        <v>5</v>
      </c>
      <c r="J316" s="1" t="s">
        <v>42</v>
      </c>
    </row>
    <row r="317" spans="1:10" ht="13.8" x14ac:dyDescent="0.25">
      <c r="A317" t="s">
        <v>362</v>
      </c>
      <c r="B317" s="8">
        <v>70</v>
      </c>
      <c r="C317" s="9" t="s">
        <v>11</v>
      </c>
      <c r="D317" s="9" t="s">
        <v>17</v>
      </c>
      <c r="E317" s="1">
        <v>45497</v>
      </c>
      <c r="F317" s="9" t="s">
        <v>26</v>
      </c>
      <c r="G317" s="11">
        <v>41962</v>
      </c>
      <c r="H317" s="8">
        <v>91</v>
      </c>
      <c r="I317" s="8">
        <v>3</v>
      </c>
      <c r="J317" s="1" t="s">
        <v>19</v>
      </c>
    </row>
    <row r="318" spans="1:10" ht="13.8" x14ac:dyDescent="0.25">
      <c r="A318" t="s">
        <v>363</v>
      </c>
      <c r="B318" s="8">
        <v>89</v>
      </c>
      <c r="C318" s="9" t="s">
        <v>16</v>
      </c>
      <c r="D318" s="9" t="s">
        <v>62</v>
      </c>
      <c r="E318" s="1">
        <v>45142</v>
      </c>
      <c r="F318" s="9" t="s">
        <v>29</v>
      </c>
      <c r="G318" s="11">
        <v>35520</v>
      </c>
      <c r="H318" s="8">
        <v>60</v>
      </c>
      <c r="I318" s="8">
        <v>3</v>
      </c>
      <c r="J318" s="1" t="s">
        <v>30</v>
      </c>
    </row>
    <row r="319" spans="1:10" ht="13.8" x14ac:dyDescent="0.25">
      <c r="A319" t="s">
        <v>364</v>
      </c>
      <c r="B319" s="8">
        <v>85</v>
      </c>
      <c r="C319" s="9" t="s">
        <v>11</v>
      </c>
      <c r="D319" s="9" t="s">
        <v>21</v>
      </c>
      <c r="E319" s="1">
        <v>45393</v>
      </c>
      <c r="F319" s="9" t="s">
        <v>13</v>
      </c>
      <c r="G319" s="11">
        <v>27479</v>
      </c>
      <c r="H319" s="8">
        <v>64</v>
      </c>
      <c r="I319" s="8">
        <v>4</v>
      </c>
      <c r="J319" s="1" t="s">
        <v>50</v>
      </c>
    </row>
    <row r="320" spans="1:10" ht="13.8" x14ac:dyDescent="0.25">
      <c r="A320" t="s">
        <v>365</v>
      </c>
      <c r="B320" s="8">
        <v>37</v>
      </c>
      <c r="C320" s="9" t="s">
        <v>11</v>
      </c>
      <c r="D320" s="9" t="s">
        <v>12</v>
      </c>
      <c r="E320" s="1">
        <v>45560</v>
      </c>
      <c r="F320" s="9" t="s">
        <v>13</v>
      </c>
      <c r="G320" s="11">
        <v>26139</v>
      </c>
      <c r="H320" s="8">
        <v>62</v>
      </c>
      <c r="I320" s="8">
        <v>3</v>
      </c>
      <c r="J320" s="1" t="s">
        <v>45</v>
      </c>
    </row>
    <row r="321" spans="1:10" ht="13.8" x14ac:dyDescent="0.25">
      <c r="A321" t="s">
        <v>366</v>
      </c>
      <c r="B321" s="8">
        <v>61</v>
      </c>
      <c r="C321" s="9" t="s">
        <v>16</v>
      </c>
      <c r="D321" s="9" t="s">
        <v>12</v>
      </c>
      <c r="E321" s="1">
        <v>45130</v>
      </c>
      <c r="F321" s="9" t="s">
        <v>13</v>
      </c>
      <c r="G321" s="11">
        <v>9488</v>
      </c>
      <c r="H321" s="8">
        <v>72</v>
      </c>
      <c r="I321" s="8">
        <v>1</v>
      </c>
      <c r="J321" s="1" t="s">
        <v>78</v>
      </c>
    </row>
    <row r="322" spans="1:10" ht="13.8" x14ac:dyDescent="0.25">
      <c r="A322" t="s">
        <v>367</v>
      </c>
      <c r="B322" s="8">
        <v>79</v>
      </c>
      <c r="C322" s="9" t="s">
        <v>16</v>
      </c>
      <c r="D322" s="9" t="s">
        <v>52</v>
      </c>
      <c r="E322" s="1">
        <v>45092</v>
      </c>
      <c r="F322" s="9" t="s">
        <v>22</v>
      </c>
      <c r="G322" s="11">
        <v>6142</v>
      </c>
      <c r="H322" s="8">
        <v>93</v>
      </c>
      <c r="I322" s="8">
        <v>2</v>
      </c>
      <c r="J322" s="1" t="s">
        <v>38</v>
      </c>
    </row>
    <row r="323" spans="1:10" ht="13.8" x14ac:dyDescent="0.25">
      <c r="A323" t="s">
        <v>368</v>
      </c>
      <c r="B323" s="8">
        <v>64</v>
      </c>
      <c r="C323" s="9" t="s">
        <v>16</v>
      </c>
      <c r="D323" s="9" t="s">
        <v>12</v>
      </c>
      <c r="E323" s="1">
        <v>45069</v>
      </c>
      <c r="F323" s="9" t="s">
        <v>13</v>
      </c>
      <c r="G323" s="11">
        <v>2926</v>
      </c>
      <c r="H323" s="8">
        <v>79</v>
      </c>
      <c r="I323" s="8">
        <v>2</v>
      </c>
      <c r="J323" s="1" t="s">
        <v>35</v>
      </c>
    </row>
    <row r="324" spans="1:10" ht="13.8" x14ac:dyDescent="0.25">
      <c r="A324" t="s">
        <v>369</v>
      </c>
      <c r="B324" s="8">
        <v>79</v>
      </c>
      <c r="C324" s="9" t="s">
        <v>16</v>
      </c>
      <c r="D324" s="9" t="s">
        <v>17</v>
      </c>
      <c r="E324" s="1">
        <v>45245</v>
      </c>
      <c r="F324" s="9" t="s">
        <v>26</v>
      </c>
      <c r="G324" s="11">
        <v>45865</v>
      </c>
      <c r="H324" s="8">
        <v>63</v>
      </c>
      <c r="I324" s="8">
        <v>3</v>
      </c>
      <c r="J324" s="1" t="s">
        <v>40</v>
      </c>
    </row>
    <row r="325" spans="1:10" ht="13.8" x14ac:dyDescent="0.25">
      <c r="A325" t="s">
        <v>370</v>
      </c>
      <c r="B325" s="8">
        <v>27</v>
      </c>
      <c r="C325" s="9" t="s">
        <v>11</v>
      </c>
      <c r="D325" s="9" t="s">
        <v>21</v>
      </c>
      <c r="E325" s="1">
        <v>45278</v>
      </c>
      <c r="F325" s="9" t="s">
        <v>13</v>
      </c>
      <c r="G325" s="11">
        <v>33154</v>
      </c>
      <c r="H325" s="8">
        <v>78</v>
      </c>
      <c r="I325" s="8">
        <v>0</v>
      </c>
      <c r="J325" s="1" t="s">
        <v>57</v>
      </c>
    </row>
    <row r="326" spans="1:10" ht="13.8" x14ac:dyDescent="0.25">
      <c r="A326" t="s">
        <v>371</v>
      </c>
      <c r="B326" s="8">
        <v>31</v>
      </c>
      <c r="C326" s="9" t="s">
        <v>11</v>
      </c>
      <c r="D326" s="9" t="s">
        <v>52</v>
      </c>
      <c r="E326" s="1">
        <v>45020</v>
      </c>
      <c r="F326" s="9" t="s">
        <v>22</v>
      </c>
      <c r="G326" s="11">
        <v>18576</v>
      </c>
      <c r="H326" s="8">
        <v>47</v>
      </c>
      <c r="I326" s="8">
        <v>0</v>
      </c>
      <c r="J326" s="1" t="s">
        <v>80</v>
      </c>
    </row>
    <row r="327" spans="1:10" ht="13.8" x14ac:dyDescent="0.25">
      <c r="A327" t="s">
        <v>372</v>
      </c>
      <c r="B327" s="8">
        <v>87</v>
      </c>
      <c r="C327" s="9" t="s">
        <v>16</v>
      </c>
      <c r="D327" s="9" t="s">
        <v>52</v>
      </c>
      <c r="E327" s="1">
        <v>45100</v>
      </c>
      <c r="F327" s="9" t="s">
        <v>13</v>
      </c>
      <c r="G327" s="11">
        <v>21223</v>
      </c>
      <c r="H327" s="8">
        <v>64</v>
      </c>
      <c r="I327" s="8">
        <v>3</v>
      </c>
      <c r="J327" s="1" t="s">
        <v>38</v>
      </c>
    </row>
    <row r="328" spans="1:10" ht="13.8" x14ac:dyDescent="0.25">
      <c r="A328" t="s">
        <v>373</v>
      </c>
      <c r="B328" s="8">
        <v>7</v>
      </c>
      <c r="C328" s="9" t="s">
        <v>16</v>
      </c>
      <c r="D328" s="9" t="s">
        <v>25</v>
      </c>
      <c r="E328" s="1">
        <v>45306</v>
      </c>
      <c r="F328" s="9" t="s">
        <v>22</v>
      </c>
      <c r="G328" s="11">
        <v>39914</v>
      </c>
      <c r="H328" s="8">
        <v>48</v>
      </c>
      <c r="I328" s="8">
        <v>2</v>
      </c>
      <c r="J328" s="1" t="s">
        <v>23</v>
      </c>
    </row>
    <row r="329" spans="1:10" ht="13.8" x14ac:dyDescent="0.25">
      <c r="A329" t="s">
        <v>374</v>
      </c>
      <c r="B329" s="8">
        <v>23</v>
      </c>
      <c r="C329" s="9" t="s">
        <v>11</v>
      </c>
      <c r="D329" s="9" t="s">
        <v>17</v>
      </c>
      <c r="E329" s="1">
        <v>45421</v>
      </c>
      <c r="F329" s="9" t="s">
        <v>18</v>
      </c>
      <c r="G329" s="11">
        <v>32143</v>
      </c>
      <c r="H329" s="8">
        <v>65</v>
      </c>
      <c r="I329" s="8">
        <v>4</v>
      </c>
      <c r="J329" s="1" t="s">
        <v>66</v>
      </c>
    </row>
    <row r="330" spans="1:10" ht="13.8" x14ac:dyDescent="0.25">
      <c r="A330" t="s">
        <v>375</v>
      </c>
      <c r="B330" s="8">
        <v>12</v>
      </c>
      <c r="C330" s="9" t="s">
        <v>11</v>
      </c>
      <c r="D330" s="9" t="s">
        <v>62</v>
      </c>
      <c r="E330" s="1">
        <v>45552</v>
      </c>
      <c r="F330" s="9" t="s">
        <v>22</v>
      </c>
      <c r="G330" s="11">
        <v>42991</v>
      </c>
      <c r="H330" s="8">
        <v>67</v>
      </c>
      <c r="I330" s="8">
        <v>0</v>
      </c>
      <c r="J330" s="1" t="s">
        <v>45</v>
      </c>
    </row>
    <row r="331" spans="1:10" ht="13.8" x14ac:dyDescent="0.25">
      <c r="A331" t="s">
        <v>376</v>
      </c>
      <c r="B331" s="8">
        <v>47</v>
      </c>
      <c r="C331" s="9" t="s">
        <v>16</v>
      </c>
      <c r="D331" s="9" t="s">
        <v>12</v>
      </c>
      <c r="E331" s="1">
        <v>45070</v>
      </c>
      <c r="F331" s="9" t="s">
        <v>29</v>
      </c>
      <c r="G331" s="11">
        <v>1510</v>
      </c>
      <c r="H331" s="8">
        <v>72</v>
      </c>
      <c r="I331" s="8">
        <v>4</v>
      </c>
      <c r="J331" s="1" t="s">
        <v>35</v>
      </c>
    </row>
    <row r="332" spans="1:10" ht="13.8" x14ac:dyDescent="0.25">
      <c r="A332" t="s">
        <v>377</v>
      </c>
      <c r="B332" s="8">
        <v>46</v>
      </c>
      <c r="C332" s="9" t="s">
        <v>16</v>
      </c>
      <c r="D332" s="9" t="s">
        <v>25</v>
      </c>
      <c r="E332" s="1">
        <v>45419</v>
      </c>
      <c r="F332" s="9" t="s">
        <v>18</v>
      </c>
      <c r="G332" s="11">
        <v>14967</v>
      </c>
      <c r="H332" s="8">
        <v>45</v>
      </c>
      <c r="I332" s="8">
        <v>2</v>
      </c>
      <c r="J332" s="1" t="s">
        <v>66</v>
      </c>
    </row>
    <row r="333" spans="1:10" ht="13.8" x14ac:dyDescent="0.25">
      <c r="A333" t="s">
        <v>378</v>
      </c>
      <c r="B333" s="8">
        <v>68</v>
      </c>
      <c r="C333" s="9" t="s">
        <v>11</v>
      </c>
      <c r="D333" s="9" t="s">
        <v>25</v>
      </c>
      <c r="E333" s="1">
        <v>45308</v>
      </c>
      <c r="F333" s="9" t="s">
        <v>26</v>
      </c>
      <c r="G333" s="11">
        <v>11253</v>
      </c>
      <c r="H333" s="8">
        <v>88</v>
      </c>
      <c r="I333" s="8">
        <v>1</v>
      </c>
      <c r="J333" s="1" t="s">
        <v>23</v>
      </c>
    </row>
    <row r="334" spans="1:10" ht="13.8" x14ac:dyDescent="0.25">
      <c r="A334" t="s">
        <v>379</v>
      </c>
      <c r="B334" s="8">
        <v>30</v>
      </c>
      <c r="C334" s="9" t="s">
        <v>16</v>
      </c>
      <c r="D334" s="9" t="s">
        <v>25</v>
      </c>
      <c r="E334" s="1">
        <v>45534</v>
      </c>
      <c r="F334" s="9" t="s">
        <v>29</v>
      </c>
      <c r="G334" s="11">
        <v>39773</v>
      </c>
      <c r="H334" s="8">
        <v>54</v>
      </c>
      <c r="I334" s="8">
        <v>0</v>
      </c>
      <c r="J334" s="1" t="s">
        <v>33</v>
      </c>
    </row>
    <row r="335" spans="1:10" ht="13.8" x14ac:dyDescent="0.25">
      <c r="A335" t="s">
        <v>380</v>
      </c>
      <c r="B335" s="8">
        <v>15</v>
      </c>
      <c r="C335" s="9" t="s">
        <v>11</v>
      </c>
      <c r="D335" s="9" t="s">
        <v>21</v>
      </c>
      <c r="E335" s="1">
        <v>45337</v>
      </c>
      <c r="F335" s="9" t="s">
        <v>18</v>
      </c>
      <c r="G335" s="11">
        <v>37209</v>
      </c>
      <c r="H335" s="8">
        <v>76</v>
      </c>
      <c r="I335" s="8">
        <v>1</v>
      </c>
      <c r="J335" s="1" t="s">
        <v>14</v>
      </c>
    </row>
    <row r="336" spans="1:10" ht="13.8" x14ac:dyDescent="0.25">
      <c r="A336" t="s">
        <v>381</v>
      </c>
      <c r="B336" s="8">
        <v>61</v>
      </c>
      <c r="C336" s="9" t="s">
        <v>11</v>
      </c>
      <c r="D336" s="9" t="s">
        <v>62</v>
      </c>
      <c r="E336" s="1">
        <v>45280</v>
      </c>
      <c r="F336" s="9" t="s">
        <v>53</v>
      </c>
      <c r="G336" s="11">
        <v>35726</v>
      </c>
      <c r="H336" s="8">
        <v>55</v>
      </c>
      <c r="I336" s="8">
        <v>1</v>
      </c>
      <c r="J336" s="1" t="s">
        <v>57</v>
      </c>
    </row>
    <row r="337" spans="1:10" ht="13.8" x14ac:dyDescent="0.25">
      <c r="A337" t="s">
        <v>382</v>
      </c>
      <c r="B337" s="8">
        <v>28</v>
      </c>
      <c r="C337" s="9" t="s">
        <v>16</v>
      </c>
      <c r="D337" s="9" t="s">
        <v>17</v>
      </c>
      <c r="E337" s="1">
        <v>45575</v>
      </c>
      <c r="F337" s="9" t="s">
        <v>13</v>
      </c>
      <c r="G337" s="11">
        <v>33152</v>
      </c>
      <c r="H337" s="8">
        <v>49</v>
      </c>
      <c r="I337" s="8">
        <v>5</v>
      </c>
      <c r="J337" s="1" t="s">
        <v>92</v>
      </c>
    </row>
    <row r="338" spans="1:10" ht="13.8" x14ac:dyDescent="0.25">
      <c r="A338" t="s">
        <v>383</v>
      </c>
      <c r="B338" s="8">
        <v>57</v>
      </c>
      <c r="C338" s="9" t="s">
        <v>11</v>
      </c>
      <c r="D338" s="9" t="s">
        <v>12</v>
      </c>
      <c r="E338" s="1">
        <v>45475</v>
      </c>
      <c r="F338" s="9" t="s">
        <v>13</v>
      </c>
      <c r="G338" s="11">
        <v>3573</v>
      </c>
      <c r="H338" s="8">
        <v>44</v>
      </c>
      <c r="I338" s="8">
        <v>4</v>
      </c>
      <c r="J338" s="1" t="s">
        <v>19</v>
      </c>
    </row>
    <row r="339" spans="1:10" ht="13.8" x14ac:dyDescent="0.25">
      <c r="A339" t="s">
        <v>384</v>
      </c>
      <c r="B339" s="8">
        <v>18</v>
      </c>
      <c r="C339" s="9" t="s">
        <v>11</v>
      </c>
      <c r="D339" s="9" t="s">
        <v>25</v>
      </c>
      <c r="E339" s="1">
        <v>44950</v>
      </c>
      <c r="F339" s="9" t="s">
        <v>22</v>
      </c>
      <c r="G339" s="11">
        <v>8338</v>
      </c>
      <c r="H339" s="8">
        <v>67</v>
      </c>
      <c r="I339" s="8">
        <v>4</v>
      </c>
      <c r="J339" s="1" t="s">
        <v>95</v>
      </c>
    </row>
    <row r="340" spans="1:10" ht="13.8" x14ac:dyDescent="0.25">
      <c r="A340" t="s">
        <v>385</v>
      </c>
      <c r="B340" s="8">
        <v>80</v>
      </c>
      <c r="C340" s="9" t="s">
        <v>16</v>
      </c>
      <c r="D340" s="9" t="s">
        <v>62</v>
      </c>
      <c r="E340" s="1">
        <v>45035</v>
      </c>
      <c r="F340" s="9" t="s">
        <v>13</v>
      </c>
      <c r="G340" s="11">
        <v>37156</v>
      </c>
      <c r="H340" s="8">
        <v>91</v>
      </c>
      <c r="I340" s="8">
        <v>3</v>
      </c>
      <c r="J340" s="1" t="s">
        <v>80</v>
      </c>
    </row>
    <row r="341" spans="1:10" ht="13.8" x14ac:dyDescent="0.25">
      <c r="A341" t="s">
        <v>386</v>
      </c>
      <c r="B341" s="8">
        <v>44</v>
      </c>
      <c r="C341" s="9" t="s">
        <v>16</v>
      </c>
      <c r="D341" s="9" t="s">
        <v>21</v>
      </c>
      <c r="E341" s="1">
        <v>45318</v>
      </c>
      <c r="F341" s="9" t="s">
        <v>53</v>
      </c>
      <c r="G341" s="11">
        <v>13011</v>
      </c>
      <c r="H341" s="8">
        <v>56</v>
      </c>
      <c r="I341" s="8">
        <v>4</v>
      </c>
      <c r="J341" s="1" t="s">
        <v>23</v>
      </c>
    </row>
    <row r="342" spans="1:10" ht="13.8" x14ac:dyDescent="0.25">
      <c r="A342" t="s">
        <v>387</v>
      </c>
      <c r="B342" s="8">
        <v>56</v>
      </c>
      <c r="C342" s="9" t="s">
        <v>16</v>
      </c>
      <c r="D342" s="9" t="s">
        <v>17</v>
      </c>
      <c r="E342" s="1">
        <v>45286</v>
      </c>
      <c r="F342" s="9" t="s">
        <v>53</v>
      </c>
      <c r="G342" s="11">
        <v>9722</v>
      </c>
      <c r="H342" s="8">
        <v>68</v>
      </c>
      <c r="I342" s="8">
        <v>1</v>
      </c>
      <c r="J342" s="1" t="s">
        <v>57</v>
      </c>
    </row>
    <row r="343" spans="1:10" ht="13.8" x14ac:dyDescent="0.25">
      <c r="A343" t="s">
        <v>388</v>
      </c>
      <c r="B343" s="8">
        <v>47</v>
      </c>
      <c r="C343" s="9" t="s">
        <v>16</v>
      </c>
      <c r="D343" s="9" t="s">
        <v>17</v>
      </c>
      <c r="E343" s="1">
        <v>45039</v>
      </c>
      <c r="F343" s="9" t="s">
        <v>13</v>
      </c>
      <c r="G343" s="11">
        <v>11324</v>
      </c>
      <c r="H343" s="8">
        <v>84</v>
      </c>
      <c r="I343" s="8">
        <v>3</v>
      </c>
      <c r="J343" s="1" t="s">
        <v>80</v>
      </c>
    </row>
    <row r="344" spans="1:10" ht="13.8" x14ac:dyDescent="0.25">
      <c r="A344" t="s">
        <v>389</v>
      </c>
      <c r="B344" s="8">
        <v>81</v>
      </c>
      <c r="C344" s="9" t="s">
        <v>11</v>
      </c>
      <c r="D344" s="9" t="s">
        <v>12</v>
      </c>
      <c r="E344" s="1">
        <v>45549</v>
      </c>
      <c r="F344" s="9" t="s">
        <v>22</v>
      </c>
      <c r="G344" s="11">
        <v>8991</v>
      </c>
      <c r="H344" s="8">
        <v>79</v>
      </c>
      <c r="I344" s="8">
        <v>0</v>
      </c>
      <c r="J344" s="1" t="s">
        <v>45</v>
      </c>
    </row>
    <row r="345" spans="1:10" ht="13.8" x14ac:dyDescent="0.25">
      <c r="A345" t="s">
        <v>390</v>
      </c>
      <c r="B345" s="8">
        <v>35</v>
      </c>
      <c r="C345" s="9" t="s">
        <v>16</v>
      </c>
      <c r="D345" s="9" t="s">
        <v>21</v>
      </c>
      <c r="E345" s="1">
        <v>45380</v>
      </c>
      <c r="F345" s="9" t="s">
        <v>53</v>
      </c>
      <c r="G345" s="11">
        <v>33480</v>
      </c>
      <c r="H345" s="8">
        <v>63</v>
      </c>
      <c r="I345" s="8">
        <v>4</v>
      </c>
      <c r="J345" s="1" t="s">
        <v>48</v>
      </c>
    </row>
    <row r="346" spans="1:10" ht="13.8" x14ac:dyDescent="0.25">
      <c r="A346" t="s">
        <v>391</v>
      </c>
      <c r="B346" s="8">
        <v>29</v>
      </c>
      <c r="C346" s="9" t="s">
        <v>16</v>
      </c>
      <c r="D346" s="9" t="s">
        <v>17</v>
      </c>
      <c r="E346" s="1">
        <v>44969</v>
      </c>
      <c r="F346" s="9" t="s">
        <v>26</v>
      </c>
      <c r="G346" s="11">
        <v>49814</v>
      </c>
      <c r="H346" s="8">
        <v>42</v>
      </c>
      <c r="I346" s="8">
        <v>5</v>
      </c>
      <c r="J346" s="1" t="s">
        <v>126</v>
      </c>
    </row>
    <row r="347" spans="1:10" ht="13.8" x14ac:dyDescent="0.25">
      <c r="A347" t="s">
        <v>392</v>
      </c>
      <c r="B347" s="8">
        <v>34</v>
      </c>
      <c r="C347" s="9" t="s">
        <v>16</v>
      </c>
      <c r="D347" s="9" t="s">
        <v>12</v>
      </c>
      <c r="E347" s="1">
        <v>45235</v>
      </c>
      <c r="F347" s="9" t="s">
        <v>26</v>
      </c>
      <c r="G347" s="11">
        <v>44048</v>
      </c>
      <c r="H347" s="8">
        <v>100</v>
      </c>
      <c r="I347" s="8">
        <v>2</v>
      </c>
      <c r="J347" s="1" t="s">
        <v>40</v>
      </c>
    </row>
    <row r="348" spans="1:10" ht="13.8" x14ac:dyDescent="0.25">
      <c r="A348" t="s">
        <v>393</v>
      </c>
      <c r="B348" s="8">
        <v>47</v>
      </c>
      <c r="C348" s="9" t="s">
        <v>16</v>
      </c>
      <c r="D348" s="9" t="s">
        <v>21</v>
      </c>
      <c r="E348" s="1">
        <v>45415</v>
      </c>
      <c r="F348" s="9" t="s">
        <v>18</v>
      </c>
      <c r="G348" s="11">
        <v>2286</v>
      </c>
      <c r="H348" s="8">
        <v>93</v>
      </c>
      <c r="I348" s="8">
        <v>1</v>
      </c>
      <c r="J348" s="1" t="s">
        <v>66</v>
      </c>
    </row>
    <row r="349" spans="1:10" ht="13.8" x14ac:dyDescent="0.25">
      <c r="A349" t="s">
        <v>394</v>
      </c>
      <c r="B349" s="8">
        <v>14</v>
      </c>
      <c r="C349" s="9" t="s">
        <v>16</v>
      </c>
      <c r="D349" s="9" t="s">
        <v>25</v>
      </c>
      <c r="E349" s="1">
        <v>45057</v>
      </c>
      <c r="F349" s="9" t="s">
        <v>13</v>
      </c>
      <c r="G349" s="11">
        <v>32914</v>
      </c>
      <c r="H349" s="8">
        <v>40</v>
      </c>
      <c r="I349" s="8">
        <v>1</v>
      </c>
      <c r="J349" s="1" t="s">
        <v>35</v>
      </c>
    </row>
    <row r="350" spans="1:10" ht="13.8" x14ac:dyDescent="0.25">
      <c r="A350" t="s">
        <v>395</v>
      </c>
      <c r="B350" s="8">
        <v>60</v>
      </c>
      <c r="C350" s="9" t="s">
        <v>11</v>
      </c>
      <c r="D350" s="9" t="s">
        <v>62</v>
      </c>
      <c r="E350" s="1">
        <v>45454</v>
      </c>
      <c r="F350" s="9" t="s">
        <v>26</v>
      </c>
      <c r="G350" s="11">
        <v>16954</v>
      </c>
      <c r="H350" s="8">
        <v>62</v>
      </c>
      <c r="I350" s="8">
        <v>4</v>
      </c>
      <c r="J350" s="1" t="s">
        <v>42</v>
      </c>
    </row>
    <row r="351" spans="1:10" ht="13.8" x14ac:dyDescent="0.25">
      <c r="A351" t="s">
        <v>396</v>
      </c>
      <c r="B351" s="8">
        <v>16</v>
      </c>
      <c r="C351" s="9" t="s">
        <v>16</v>
      </c>
      <c r="D351" s="9" t="s">
        <v>12</v>
      </c>
      <c r="E351" s="1">
        <v>45127</v>
      </c>
      <c r="F351" s="9" t="s">
        <v>53</v>
      </c>
      <c r="G351" s="11">
        <v>6754</v>
      </c>
      <c r="H351" s="8">
        <v>43</v>
      </c>
      <c r="I351" s="8">
        <v>4</v>
      </c>
      <c r="J351" s="1" t="s">
        <v>78</v>
      </c>
    </row>
    <row r="352" spans="1:10" ht="13.8" x14ac:dyDescent="0.25">
      <c r="A352" t="s">
        <v>397</v>
      </c>
      <c r="B352" s="8">
        <v>12</v>
      </c>
      <c r="C352" s="9" t="s">
        <v>11</v>
      </c>
      <c r="D352" s="9" t="s">
        <v>12</v>
      </c>
      <c r="E352" s="1">
        <v>45333</v>
      </c>
      <c r="F352" s="9" t="s">
        <v>22</v>
      </c>
      <c r="G352" s="11">
        <v>3578</v>
      </c>
      <c r="H352" s="8">
        <v>71</v>
      </c>
      <c r="I352" s="8">
        <v>3</v>
      </c>
      <c r="J352" s="1" t="s">
        <v>14</v>
      </c>
    </row>
    <row r="353" spans="1:10" ht="13.8" x14ac:dyDescent="0.25">
      <c r="A353" t="s">
        <v>398</v>
      </c>
      <c r="B353" s="8">
        <v>56</v>
      </c>
      <c r="C353" s="9" t="s">
        <v>11</v>
      </c>
      <c r="D353" s="9" t="s">
        <v>25</v>
      </c>
      <c r="E353" s="1">
        <v>45583</v>
      </c>
      <c r="F353" s="9" t="s">
        <v>26</v>
      </c>
      <c r="G353" s="11">
        <v>32571</v>
      </c>
      <c r="H353" s="8">
        <v>69</v>
      </c>
      <c r="I353" s="8">
        <v>2</v>
      </c>
      <c r="J353" s="1" t="s">
        <v>92</v>
      </c>
    </row>
    <row r="354" spans="1:10" ht="13.8" x14ac:dyDescent="0.25">
      <c r="A354" t="s">
        <v>399</v>
      </c>
      <c r="B354" s="8">
        <v>81</v>
      </c>
      <c r="C354" s="9" t="s">
        <v>16</v>
      </c>
      <c r="D354" s="9" t="s">
        <v>62</v>
      </c>
      <c r="E354" s="1">
        <v>45372</v>
      </c>
      <c r="F354" s="9" t="s">
        <v>13</v>
      </c>
      <c r="G354" s="11">
        <v>42977</v>
      </c>
      <c r="H354" s="8">
        <v>94</v>
      </c>
      <c r="I354" s="8">
        <v>2</v>
      </c>
      <c r="J354" s="1" t="s">
        <v>48</v>
      </c>
    </row>
    <row r="355" spans="1:10" ht="13.8" x14ac:dyDescent="0.25">
      <c r="A355" t="s">
        <v>400</v>
      </c>
      <c r="B355" s="8">
        <v>57</v>
      </c>
      <c r="C355" s="9" t="s">
        <v>16</v>
      </c>
      <c r="D355" s="9" t="s">
        <v>12</v>
      </c>
      <c r="E355" s="1">
        <v>45439</v>
      </c>
      <c r="F355" s="9" t="s">
        <v>22</v>
      </c>
      <c r="G355" s="11">
        <v>41068</v>
      </c>
      <c r="H355" s="8">
        <v>84</v>
      </c>
      <c r="I355" s="8">
        <v>5</v>
      </c>
      <c r="J355" s="1" t="s">
        <v>66</v>
      </c>
    </row>
    <row r="356" spans="1:10" ht="13.8" x14ac:dyDescent="0.25">
      <c r="A356" t="s">
        <v>401</v>
      </c>
      <c r="B356" s="8">
        <v>37</v>
      </c>
      <c r="C356" s="9" t="s">
        <v>11</v>
      </c>
      <c r="D356" s="9" t="s">
        <v>17</v>
      </c>
      <c r="E356" s="1">
        <v>45468</v>
      </c>
      <c r="F356" s="9" t="s">
        <v>26</v>
      </c>
      <c r="G356" s="11">
        <v>4045</v>
      </c>
      <c r="H356" s="8">
        <v>58</v>
      </c>
      <c r="I356" s="8">
        <v>4</v>
      </c>
      <c r="J356" s="1" t="s">
        <v>42</v>
      </c>
    </row>
    <row r="357" spans="1:10" ht="13.8" x14ac:dyDescent="0.25">
      <c r="A357" t="s">
        <v>402</v>
      </c>
      <c r="B357" s="8">
        <v>83</v>
      </c>
      <c r="C357" s="9" t="s">
        <v>11</v>
      </c>
      <c r="D357" s="9" t="s">
        <v>21</v>
      </c>
      <c r="E357" s="1">
        <v>44927</v>
      </c>
      <c r="F357" s="9" t="s">
        <v>29</v>
      </c>
      <c r="G357" s="11">
        <v>12079</v>
      </c>
      <c r="H357" s="8">
        <v>100</v>
      </c>
      <c r="I357" s="8">
        <v>1</v>
      </c>
      <c r="J357" s="1" t="s">
        <v>95</v>
      </c>
    </row>
    <row r="358" spans="1:10" ht="13.8" x14ac:dyDescent="0.25">
      <c r="A358" t="s">
        <v>403</v>
      </c>
      <c r="B358" s="8">
        <v>53</v>
      </c>
      <c r="C358" s="9" t="s">
        <v>16</v>
      </c>
      <c r="D358" s="9" t="s">
        <v>21</v>
      </c>
      <c r="E358" s="1">
        <v>45218</v>
      </c>
      <c r="F358" s="9" t="s">
        <v>26</v>
      </c>
      <c r="G358" s="11">
        <v>6966</v>
      </c>
      <c r="H358" s="8">
        <v>55</v>
      </c>
      <c r="I358" s="8">
        <v>0</v>
      </c>
      <c r="J358" s="1" t="s">
        <v>27</v>
      </c>
    </row>
    <row r="359" spans="1:10" ht="13.8" x14ac:dyDescent="0.25">
      <c r="A359" t="s">
        <v>404</v>
      </c>
      <c r="B359" s="8">
        <v>73</v>
      </c>
      <c r="C359" s="9" t="s">
        <v>11</v>
      </c>
      <c r="D359" s="9" t="s">
        <v>17</v>
      </c>
      <c r="E359" s="1">
        <v>44987</v>
      </c>
      <c r="F359" s="9" t="s">
        <v>22</v>
      </c>
      <c r="G359" s="11">
        <v>6236</v>
      </c>
      <c r="H359" s="8">
        <v>89</v>
      </c>
      <c r="I359" s="8">
        <v>0</v>
      </c>
      <c r="J359" s="1" t="s">
        <v>63</v>
      </c>
    </row>
    <row r="360" spans="1:10" ht="13.8" x14ac:dyDescent="0.25">
      <c r="A360" t="s">
        <v>405</v>
      </c>
      <c r="B360" s="8">
        <v>37</v>
      </c>
      <c r="C360" s="9" t="s">
        <v>16</v>
      </c>
      <c r="D360" s="9" t="s">
        <v>52</v>
      </c>
      <c r="E360" s="1">
        <v>45470</v>
      </c>
      <c r="F360" s="9" t="s">
        <v>18</v>
      </c>
      <c r="G360" s="11">
        <v>26475</v>
      </c>
      <c r="H360" s="8">
        <v>57</v>
      </c>
      <c r="I360" s="8">
        <v>1</v>
      </c>
      <c r="J360" s="1" t="s">
        <v>42</v>
      </c>
    </row>
    <row r="361" spans="1:10" ht="13.8" x14ac:dyDescent="0.25">
      <c r="A361" t="s">
        <v>406</v>
      </c>
      <c r="B361" s="8">
        <v>17</v>
      </c>
      <c r="C361" s="9" t="s">
        <v>16</v>
      </c>
      <c r="D361" s="9" t="s">
        <v>52</v>
      </c>
      <c r="E361" s="1">
        <v>44992</v>
      </c>
      <c r="F361" s="9" t="s">
        <v>13</v>
      </c>
      <c r="G361" s="11">
        <v>27765</v>
      </c>
      <c r="H361" s="8">
        <v>45</v>
      </c>
      <c r="I361" s="8">
        <v>4</v>
      </c>
      <c r="J361" s="1" t="s">
        <v>63</v>
      </c>
    </row>
    <row r="362" spans="1:10" ht="13.8" x14ac:dyDescent="0.25">
      <c r="A362" t="s">
        <v>407</v>
      </c>
      <c r="B362" s="8">
        <v>67</v>
      </c>
      <c r="C362" s="9" t="s">
        <v>16</v>
      </c>
      <c r="D362" s="9" t="s">
        <v>21</v>
      </c>
      <c r="E362" s="1">
        <v>45239</v>
      </c>
      <c r="F362" s="9" t="s">
        <v>53</v>
      </c>
      <c r="G362" s="11">
        <v>29351</v>
      </c>
      <c r="H362" s="8">
        <v>66</v>
      </c>
      <c r="I362" s="8">
        <v>4</v>
      </c>
      <c r="J362" s="1" t="s">
        <v>40</v>
      </c>
    </row>
    <row r="363" spans="1:10" ht="13.8" x14ac:dyDescent="0.25">
      <c r="A363" t="s">
        <v>408</v>
      </c>
      <c r="B363" s="8">
        <v>84</v>
      </c>
      <c r="C363" s="9" t="s">
        <v>11</v>
      </c>
      <c r="D363" s="9" t="s">
        <v>21</v>
      </c>
      <c r="E363" s="1">
        <v>44954</v>
      </c>
      <c r="F363" s="9" t="s">
        <v>13</v>
      </c>
      <c r="G363" s="11">
        <v>11182</v>
      </c>
      <c r="H363" s="8">
        <v>54</v>
      </c>
      <c r="I363" s="8">
        <v>0</v>
      </c>
      <c r="J363" s="1" t="s">
        <v>95</v>
      </c>
    </row>
    <row r="364" spans="1:10" ht="13.8" x14ac:dyDescent="0.25">
      <c r="A364" t="s">
        <v>409</v>
      </c>
      <c r="B364" s="8">
        <v>6</v>
      </c>
      <c r="C364" s="9" t="s">
        <v>11</v>
      </c>
      <c r="D364" s="9" t="s">
        <v>62</v>
      </c>
      <c r="E364" s="1">
        <v>45332</v>
      </c>
      <c r="F364" s="9" t="s">
        <v>53</v>
      </c>
      <c r="G364" s="11">
        <v>9014</v>
      </c>
      <c r="H364" s="8">
        <v>80</v>
      </c>
      <c r="I364" s="8">
        <v>5</v>
      </c>
      <c r="J364" s="1" t="s">
        <v>14</v>
      </c>
    </row>
    <row r="365" spans="1:10" ht="13.8" x14ac:dyDescent="0.25">
      <c r="A365" t="s">
        <v>410</v>
      </c>
      <c r="B365" s="8">
        <v>4</v>
      </c>
      <c r="C365" s="9" t="s">
        <v>16</v>
      </c>
      <c r="D365" s="9" t="s">
        <v>17</v>
      </c>
      <c r="E365" s="1">
        <v>45037</v>
      </c>
      <c r="F365" s="9" t="s">
        <v>26</v>
      </c>
      <c r="G365" s="11">
        <v>9464</v>
      </c>
      <c r="H365" s="8">
        <v>67</v>
      </c>
      <c r="I365" s="8">
        <v>5</v>
      </c>
      <c r="J365" s="1" t="s">
        <v>80</v>
      </c>
    </row>
    <row r="366" spans="1:10" ht="13.8" x14ac:dyDescent="0.25">
      <c r="A366" t="s">
        <v>411</v>
      </c>
      <c r="B366" s="8">
        <v>4</v>
      </c>
      <c r="C366" s="9" t="s">
        <v>11</v>
      </c>
      <c r="D366" s="9" t="s">
        <v>62</v>
      </c>
      <c r="E366" s="1">
        <v>44947</v>
      </c>
      <c r="F366" s="9" t="s">
        <v>26</v>
      </c>
      <c r="G366" s="11">
        <v>47466</v>
      </c>
      <c r="H366" s="8">
        <v>49</v>
      </c>
      <c r="I366" s="8">
        <v>1</v>
      </c>
      <c r="J366" s="1" t="s">
        <v>95</v>
      </c>
    </row>
    <row r="367" spans="1:10" ht="13.8" x14ac:dyDescent="0.25">
      <c r="A367" t="s">
        <v>412</v>
      </c>
      <c r="B367" s="8">
        <v>67</v>
      </c>
      <c r="C367" s="9" t="s">
        <v>11</v>
      </c>
      <c r="D367" s="9" t="s">
        <v>62</v>
      </c>
      <c r="E367" s="1">
        <v>45490</v>
      </c>
      <c r="F367" s="9" t="s">
        <v>22</v>
      </c>
      <c r="G367" s="11">
        <v>37451</v>
      </c>
      <c r="H367" s="8">
        <v>88</v>
      </c>
      <c r="I367" s="8">
        <v>4</v>
      </c>
      <c r="J367" s="1" t="s">
        <v>19</v>
      </c>
    </row>
    <row r="368" spans="1:10" ht="13.8" x14ac:dyDescent="0.25">
      <c r="A368" t="s">
        <v>413</v>
      </c>
      <c r="B368" s="8">
        <v>38</v>
      </c>
      <c r="C368" s="9" t="s">
        <v>16</v>
      </c>
      <c r="D368" s="9" t="s">
        <v>21</v>
      </c>
      <c r="E368" s="1">
        <v>45395</v>
      </c>
      <c r="F368" s="9" t="s">
        <v>26</v>
      </c>
      <c r="G368" s="11">
        <v>46397</v>
      </c>
      <c r="H368" s="8">
        <v>86</v>
      </c>
      <c r="I368" s="8">
        <v>5</v>
      </c>
      <c r="J368" s="1" t="s">
        <v>50</v>
      </c>
    </row>
    <row r="369" spans="1:10" ht="13.8" x14ac:dyDescent="0.25">
      <c r="A369" t="s">
        <v>414</v>
      </c>
      <c r="B369" s="8">
        <v>11</v>
      </c>
      <c r="C369" s="9" t="s">
        <v>16</v>
      </c>
      <c r="D369" s="9" t="s">
        <v>25</v>
      </c>
      <c r="E369" s="1">
        <v>45016</v>
      </c>
      <c r="F369" s="9" t="s">
        <v>22</v>
      </c>
      <c r="G369" s="11">
        <v>7745</v>
      </c>
      <c r="H369" s="8">
        <v>63</v>
      </c>
      <c r="I369" s="8">
        <v>4</v>
      </c>
      <c r="J369" s="1" t="s">
        <v>63</v>
      </c>
    </row>
    <row r="370" spans="1:10" ht="13.8" x14ac:dyDescent="0.25">
      <c r="A370" t="s">
        <v>415</v>
      </c>
      <c r="B370" s="8">
        <v>87</v>
      </c>
      <c r="C370" s="9" t="s">
        <v>16</v>
      </c>
      <c r="D370" s="9" t="s">
        <v>52</v>
      </c>
      <c r="E370" s="1">
        <v>45340</v>
      </c>
      <c r="F370" s="9" t="s">
        <v>29</v>
      </c>
      <c r="G370" s="11">
        <v>32431</v>
      </c>
      <c r="H370" s="8">
        <v>94</v>
      </c>
      <c r="I370" s="8">
        <v>2</v>
      </c>
      <c r="J370" s="1" t="s">
        <v>14</v>
      </c>
    </row>
    <row r="371" spans="1:10" ht="13.8" x14ac:dyDescent="0.25">
      <c r="A371" t="s">
        <v>416</v>
      </c>
      <c r="B371" s="8">
        <v>66</v>
      </c>
      <c r="C371" s="9" t="s">
        <v>11</v>
      </c>
      <c r="D371" s="9" t="s">
        <v>17</v>
      </c>
      <c r="E371" s="1">
        <v>45146</v>
      </c>
      <c r="F371" s="9" t="s">
        <v>53</v>
      </c>
      <c r="G371" s="11">
        <v>36679</v>
      </c>
      <c r="H371" s="8">
        <v>59</v>
      </c>
      <c r="I371" s="8">
        <v>2</v>
      </c>
      <c r="J371" s="1" t="s">
        <v>30</v>
      </c>
    </row>
    <row r="372" spans="1:10" ht="13.8" x14ac:dyDescent="0.25">
      <c r="A372" t="s">
        <v>417</v>
      </c>
      <c r="B372" s="8">
        <v>41</v>
      </c>
      <c r="C372" s="9" t="s">
        <v>11</v>
      </c>
      <c r="D372" s="9" t="s">
        <v>62</v>
      </c>
      <c r="E372" s="1">
        <v>45507</v>
      </c>
      <c r="F372" s="9" t="s">
        <v>18</v>
      </c>
      <c r="G372" s="11">
        <v>15994</v>
      </c>
      <c r="H372" s="8">
        <v>58</v>
      </c>
      <c r="I372" s="8">
        <v>5</v>
      </c>
      <c r="J372" s="1" t="s">
        <v>33</v>
      </c>
    </row>
    <row r="373" spans="1:10" ht="13.8" x14ac:dyDescent="0.25">
      <c r="A373" t="s">
        <v>418</v>
      </c>
      <c r="B373" s="8">
        <v>2</v>
      </c>
      <c r="C373" s="9" t="s">
        <v>16</v>
      </c>
      <c r="D373" s="9" t="s">
        <v>62</v>
      </c>
      <c r="E373" s="1">
        <v>45415</v>
      </c>
      <c r="F373" s="9" t="s">
        <v>29</v>
      </c>
      <c r="G373" s="11">
        <v>38214</v>
      </c>
      <c r="H373" s="8">
        <v>70</v>
      </c>
      <c r="I373" s="8">
        <v>2</v>
      </c>
      <c r="J373" s="1" t="s">
        <v>66</v>
      </c>
    </row>
    <row r="374" spans="1:10" ht="13.8" x14ac:dyDescent="0.25">
      <c r="A374" t="s">
        <v>419</v>
      </c>
      <c r="B374" s="8">
        <v>25</v>
      </c>
      <c r="C374" s="9" t="s">
        <v>16</v>
      </c>
      <c r="D374" s="9" t="s">
        <v>62</v>
      </c>
      <c r="E374" s="1">
        <v>45451</v>
      </c>
      <c r="F374" s="9" t="s">
        <v>29</v>
      </c>
      <c r="G374" s="11">
        <v>24234</v>
      </c>
      <c r="H374" s="8">
        <v>49</v>
      </c>
      <c r="I374" s="8">
        <v>0</v>
      </c>
      <c r="J374" s="1" t="s">
        <v>42</v>
      </c>
    </row>
    <row r="375" spans="1:10" ht="13.8" x14ac:dyDescent="0.25">
      <c r="A375" t="s">
        <v>420</v>
      </c>
      <c r="B375" s="8">
        <v>64</v>
      </c>
      <c r="C375" s="9" t="s">
        <v>11</v>
      </c>
      <c r="D375" s="9" t="s">
        <v>52</v>
      </c>
      <c r="E375" s="1">
        <v>45155</v>
      </c>
      <c r="F375" s="9" t="s">
        <v>26</v>
      </c>
      <c r="G375" s="11">
        <v>15003</v>
      </c>
      <c r="H375" s="8">
        <v>98</v>
      </c>
      <c r="I375" s="8">
        <v>4</v>
      </c>
      <c r="J375" s="1" t="s">
        <v>30</v>
      </c>
    </row>
    <row r="376" spans="1:10" ht="13.8" x14ac:dyDescent="0.25">
      <c r="A376" t="s">
        <v>421</v>
      </c>
      <c r="B376" s="8">
        <v>75</v>
      </c>
      <c r="C376" s="9" t="s">
        <v>11</v>
      </c>
      <c r="D376" s="9" t="s">
        <v>52</v>
      </c>
      <c r="E376" s="1">
        <v>44965</v>
      </c>
      <c r="F376" s="9" t="s">
        <v>18</v>
      </c>
      <c r="G376" s="11">
        <v>38972</v>
      </c>
      <c r="H376" s="8">
        <v>59</v>
      </c>
      <c r="I376" s="8">
        <v>4</v>
      </c>
      <c r="J376" s="1" t="s">
        <v>126</v>
      </c>
    </row>
    <row r="377" spans="1:10" ht="13.8" x14ac:dyDescent="0.25">
      <c r="A377" t="s">
        <v>422</v>
      </c>
      <c r="B377" s="8">
        <v>20</v>
      </c>
      <c r="C377" s="9" t="s">
        <v>11</v>
      </c>
      <c r="D377" s="9" t="s">
        <v>25</v>
      </c>
      <c r="E377" s="1">
        <v>45009</v>
      </c>
      <c r="F377" s="9" t="s">
        <v>26</v>
      </c>
      <c r="G377" s="11">
        <v>25127</v>
      </c>
      <c r="H377" s="8">
        <v>50</v>
      </c>
      <c r="I377" s="8">
        <v>0</v>
      </c>
      <c r="J377" s="1" t="s">
        <v>63</v>
      </c>
    </row>
    <row r="378" spans="1:10" ht="13.8" x14ac:dyDescent="0.25">
      <c r="A378" t="s">
        <v>423</v>
      </c>
      <c r="B378" s="8">
        <v>6</v>
      </c>
      <c r="C378" s="9" t="s">
        <v>16</v>
      </c>
      <c r="D378" s="9" t="s">
        <v>12</v>
      </c>
      <c r="E378" s="1">
        <v>45108</v>
      </c>
      <c r="F378" s="9" t="s">
        <v>22</v>
      </c>
      <c r="G378" s="11">
        <v>31622</v>
      </c>
      <c r="H378" s="8">
        <v>44</v>
      </c>
      <c r="I378" s="8">
        <v>3</v>
      </c>
      <c r="J378" s="1" t="s">
        <v>78</v>
      </c>
    </row>
    <row r="379" spans="1:10" ht="13.8" x14ac:dyDescent="0.25">
      <c r="A379" t="s">
        <v>424</v>
      </c>
      <c r="B379" s="8">
        <v>77</v>
      </c>
      <c r="C379" s="9" t="s">
        <v>11</v>
      </c>
      <c r="D379" s="9" t="s">
        <v>17</v>
      </c>
      <c r="E379" s="1">
        <v>45200</v>
      </c>
      <c r="F379" s="9" t="s">
        <v>29</v>
      </c>
      <c r="G379" s="11">
        <v>43769</v>
      </c>
      <c r="H379" s="8">
        <v>70</v>
      </c>
      <c r="I379" s="8">
        <v>4</v>
      </c>
      <c r="J379" s="1" t="s">
        <v>27</v>
      </c>
    </row>
    <row r="380" spans="1:10" ht="13.8" x14ac:dyDescent="0.25">
      <c r="A380" t="s">
        <v>425</v>
      </c>
      <c r="B380" s="8">
        <v>5</v>
      </c>
      <c r="C380" s="9" t="s">
        <v>16</v>
      </c>
      <c r="D380" s="9" t="s">
        <v>62</v>
      </c>
      <c r="E380" s="1">
        <v>45158</v>
      </c>
      <c r="F380" s="9" t="s">
        <v>22</v>
      </c>
      <c r="G380" s="11">
        <v>20954</v>
      </c>
      <c r="H380" s="8">
        <v>64</v>
      </c>
      <c r="I380" s="8">
        <v>5</v>
      </c>
      <c r="J380" s="1" t="s">
        <v>30</v>
      </c>
    </row>
    <row r="381" spans="1:10" ht="13.8" x14ac:dyDescent="0.25">
      <c r="A381" t="s">
        <v>426</v>
      </c>
      <c r="B381" s="8">
        <v>90</v>
      </c>
      <c r="C381" s="9" t="s">
        <v>16</v>
      </c>
      <c r="D381" s="9" t="s">
        <v>62</v>
      </c>
      <c r="E381" s="1">
        <v>45589</v>
      </c>
      <c r="F381" s="9" t="s">
        <v>26</v>
      </c>
      <c r="G381" s="11">
        <v>43916</v>
      </c>
      <c r="H381" s="8">
        <v>56</v>
      </c>
      <c r="I381" s="8">
        <v>5</v>
      </c>
      <c r="J381" s="1" t="s">
        <v>92</v>
      </c>
    </row>
    <row r="382" spans="1:10" ht="13.8" x14ac:dyDescent="0.25">
      <c r="A382" t="s">
        <v>427</v>
      </c>
      <c r="B382" s="8">
        <v>61</v>
      </c>
      <c r="C382" s="9" t="s">
        <v>11</v>
      </c>
      <c r="D382" s="9" t="s">
        <v>52</v>
      </c>
      <c r="E382" s="1">
        <v>45229</v>
      </c>
      <c r="F382" s="9" t="s">
        <v>13</v>
      </c>
      <c r="G382" s="11">
        <v>15826</v>
      </c>
      <c r="H382" s="8">
        <v>76</v>
      </c>
      <c r="I382" s="8">
        <v>0</v>
      </c>
      <c r="J382" s="1" t="s">
        <v>27</v>
      </c>
    </row>
    <row r="383" spans="1:10" ht="13.8" x14ac:dyDescent="0.25">
      <c r="A383" t="s">
        <v>428</v>
      </c>
      <c r="B383" s="8">
        <v>59</v>
      </c>
      <c r="C383" s="9" t="s">
        <v>11</v>
      </c>
      <c r="D383" s="9" t="s">
        <v>17</v>
      </c>
      <c r="E383" s="1">
        <v>45091</v>
      </c>
      <c r="F383" s="9" t="s">
        <v>22</v>
      </c>
      <c r="G383" s="11">
        <v>15712</v>
      </c>
      <c r="H383" s="8">
        <v>85</v>
      </c>
      <c r="I383" s="8">
        <v>4</v>
      </c>
      <c r="J383" s="1" t="s">
        <v>38</v>
      </c>
    </row>
    <row r="384" spans="1:10" ht="13.8" x14ac:dyDescent="0.25">
      <c r="A384" t="s">
        <v>429</v>
      </c>
      <c r="B384" s="8">
        <v>73</v>
      </c>
      <c r="C384" s="9" t="s">
        <v>11</v>
      </c>
      <c r="D384" s="9" t="s">
        <v>21</v>
      </c>
      <c r="E384" s="1">
        <v>44970</v>
      </c>
      <c r="F384" s="9" t="s">
        <v>22</v>
      </c>
      <c r="G384" s="11">
        <v>22304</v>
      </c>
      <c r="H384" s="8">
        <v>52</v>
      </c>
      <c r="I384" s="8">
        <v>2</v>
      </c>
      <c r="J384" s="1" t="s">
        <v>126</v>
      </c>
    </row>
    <row r="385" spans="1:10" ht="13.8" x14ac:dyDescent="0.25">
      <c r="A385" t="s">
        <v>430</v>
      </c>
      <c r="B385" s="8">
        <v>73</v>
      </c>
      <c r="C385" s="9" t="s">
        <v>16</v>
      </c>
      <c r="D385" s="9" t="s">
        <v>21</v>
      </c>
      <c r="E385" s="1">
        <v>45018</v>
      </c>
      <c r="F385" s="9" t="s">
        <v>26</v>
      </c>
      <c r="G385" s="11">
        <v>25389</v>
      </c>
      <c r="H385" s="8">
        <v>47</v>
      </c>
      <c r="I385" s="8">
        <v>5</v>
      </c>
      <c r="J385" s="1" t="s">
        <v>80</v>
      </c>
    </row>
    <row r="386" spans="1:10" ht="13.8" x14ac:dyDescent="0.25">
      <c r="A386" t="s">
        <v>431</v>
      </c>
      <c r="B386" s="8">
        <v>54</v>
      </c>
      <c r="C386" s="9" t="s">
        <v>11</v>
      </c>
      <c r="D386" s="9" t="s">
        <v>17</v>
      </c>
      <c r="E386" s="1">
        <v>45113</v>
      </c>
      <c r="F386" s="9" t="s">
        <v>26</v>
      </c>
      <c r="G386" s="11">
        <v>13726</v>
      </c>
      <c r="H386" s="8">
        <v>54</v>
      </c>
      <c r="I386" s="8">
        <v>2</v>
      </c>
      <c r="J386" s="1" t="s">
        <v>78</v>
      </c>
    </row>
    <row r="387" spans="1:10" ht="13.8" x14ac:dyDescent="0.25">
      <c r="A387" t="s">
        <v>432</v>
      </c>
      <c r="B387" s="8">
        <v>34</v>
      </c>
      <c r="C387" s="9" t="s">
        <v>11</v>
      </c>
      <c r="D387" s="9" t="s">
        <v>52</v>
      </c>
      <c r="E387" s="1">
        <v>45025</v>
      </c>
      <c r="F387" s="9" t="s">
        <v>22</v>
      </c>
      <c r="G387" s="11">
        <v>15502</v>
      </c>
      <c r="H387" s="8">
        <v>46</v>
      </c>
      <c r="I387" s="8">
        <v>0</v>
      </c>
      <c r="J387" s="1" t="s">
        <v>80</v>
      </c>
    </row>
    <row r="388" spans="1:10" ht="13.8" x14ac:dyDescent="0.25">
      <c r="A388" t="s">
        <v>433</v>
      </c>
      <c r="B388" s="8">
        <v>9</v>
      </c>
      <c r="C388" s="9" t="s">
        <v>16</v>
      </c>
      <c r="D388" s="9" t="s">
        <v>21</v>
      </c>
      <c r="E388" s="1">
        <v>45465</v>
      </c>
      <c r="F388" s="9" t="s">
        <v>29</v>
      </c>
      <c r="G388" s="11">
        <v>41820</v>
      </c>
      <c r="H388" s="8">
        <v>65</v>
      </c>
      <c r="I388" s="8">
        <v>4</v>
      </c>
      <c r="J388" s="1" t="s">
        <v>42</v>
      </c>
    </row>
    <row r="389" spans="1:10" ht="13.8" x14ac:dyDescent="0.25">
      <c r="A389" t="s">
        <v>434</v>
      </c>
      <c r="B389" s="8">
        <v>44</v>
      </c>
      <c r="C389" s="9" t="s">
        <v>11</v>
      </c>
      <c r="D389" s="9" t="s">
        <v>52</v>
      </c>
      <c r="E389" s="1">
        <v>44994</v>
      </c>
      <c r="F389" s="9" t="s">
        <v>22</v>
      </c>
      <c r="G389" s="11">
        <v>17574</v>
      </c>
      <c r="H389" s="8">
        <v>80</v>
      </c>
      <c r="I389" s="8">
        <v>3</v>
      </c>
      <c r="J389" s="1" t="s">
        <v>63</v>
      </c>
    </row>
    <row r="390" spans="1:10" ht="13.8" x14ac:dyDescent="0.25">
      <c r="A390" t="s">
        <v>435</v>
      </c>
      <c r="B390" s="8">
        <v>83</v>
      </c>
      <c r="C390" s="9" t="s">
        <v>11</v>
      </c>
      <c r="D390" s="9" t="s">
        <v>17</v>
      </c>
      <c r="E390" s="1">
        <v>45537</v>
      </c>
      <c r="F390" s="9" t="s">
        <v>29</v>
      </c>
      <c r="G390" s="11">
        <v>13118</v>
      </c>
      <c r="H390" s="8">
        <v>45</v>
      </c>
      <c r="I390" s="8">
        <v>0</v>
      </c>
      <c r="J390" s="1" t="s">
        <v>45</v>
      </c>
    </row>
    <row r="391" spans="1:10" ht="13.8" x14ac:dyDescent="0.25">
      <c r="A391" t="s">
        <v>436</v>
      </c>
      <c r="B391" s="8">
        <v>48</v>
      </c>
      <c r="C391" s="9" t="s">
        <v>16</v>
      </c>
      <c r="D391" s="9" t="s">
        <v>12</v>
      </c>
      <c r="E391" s="1">
        <v>45612</v>
      </c>
      <c r="F391" s="9" t="s">
        <v>53</v>
      </c>
      <c r="G391" s="11">
        <v>32680</v>
      </c>
      <c r="H391" s="8">
        <v>85</v>
      </c>
      <c r="I391" s="8">
        <v>1</v>
      </c>
      <c r="J391" s="1" t="s">
        <v>54</v>
      </c>
    </row>
    <row r="392" spans="1:10" ht="13.8" x14ac:dyDescent="0.25">
      <c r="A392" t="s">
        <v>437</v>
      </c>
      <c r="B392" s="8">
        <v>49</v>
      </c>
      <c r="C392" s="9" t="s">
        <v>11</v>
      </c>
      <c r="D392" s="9" t="s">
        <v>17</v>
      </c>
      <c r="E392" s="1">
        <v>45612</v>
      </c>
      <c r="F392" s="9" t="s">
        <v>26</v>
      </c>
      <c r="G392" s="11">
        <v>16970</v>
      </c>
      <c r="H392" s="8">
        <v>42</v>
      </c>
      <c r="I392" s="8">
        <v>1</v>
      </c>
      <c r="J392" s="1" t="s">
        <v>54</v>
      </c>
    </row>
    <row r="393" spans="1:10" ht="13.8" x14ac:dyDescent="0.25">
      <c r="A393" t="s">
        <v>438</v>
      </c>
      <c r="B393" s="8">
        <v>7</v>
      </c>
      <c r="C393" s="9" t="s">
        <v>16</v>
      </c>
      <c r="D393" s="9" t="s">
        <v>12</v>
      </c>
      <c r="E393" s="1">
        <v>45565</v>
      </c>
      <c r="F393" s="9" t="s">
        <v>26</v>
      </c>
      <c r="G393" s="11">
        <v>2808</v>
      </c>
      <c r="H393" s="8">
        <v>73</v>
      </c>
      <c r="I393" s="8">
        <v>1</v>
      </c>
      <c r="J393" s="1" t="s">
        <v>45</v>
      </c>
    </row>
    <row r="394" spans="1:10" ht="13.8" x14ac:dyDescent="0.25">
      <c r="A394" t="s">
        <v>439</v>
      </c>
      <c r="B394" s="8">
        <v>26</v>
      </c>
      <c r="C394" s="9" t="s">
        <v>16</v>
      </c>
      <c r="D394" s="9" t="s">
        <v>21</v>
      </c>
      <c r="E394" s="1">
        <v>45617</v>
      </c>
      <c r="F394" s="9" t="s">
        <v>22</v>
      </c>
      <c r="G394" s="11">
        <v>44724</v>
      </c>
      <c r="H394" s="8">
        <v>81</v>
      </c>
      <c r="I394" s="8">
        <v>4</v>
      </c>
      <c r="J394" s="1" t="s">
        <v>54</v>
      </c>
    </row>
    <row r="395" spans="1:10" ht="13.8" x14ac:dyDescent="0.25">
      <c r="A395" t="s">
        <v>440</v>
      </c>
      <c r="B395" s="8">
        <v>42</v>
      </c>
      <c r="C395" s="9" t="s">
        <v>16</v>
      </c>
      <c r="D395" s="9" t="s">
        <v>21</v>
      </c>
      <c r="E395" s="1">
        <v>44999</v>
      </c>
      <c r="F395" s="9" t="s">
        <v>53</v>
      </c>
      <c r="G395" s="11">
        <v>21642</v>
      </c>
      <c r="H395" s="8">
        <v>82</v>
      </c>
      <c r="I395" s="8">
        <v>0</v>
      </c>
      <c r="J395" s="1" t="s">
        <v>63</v>
      </c>
    </row>
    <row r="396" spans="1:10" ht="13.8" x14ac:dyDescent="0.25">
      <c r="A396" t="s">
        <v>441</v>
      </c>
      <c r="B396" s="8">
        <v>60</v>
      </c>
      <c r="C396" s="9" t="s">
        <v>11</v>
      </c>
      <c r="D396" s="9" t="s">
        <v>62</v>
      </c>
      <c r="E396" s="1">
        <v>45000</v>
      </c>
      <c r="F396" s="9" t="s">
        <v>13</v>
      </c>
      <c r="G396" s="11">
        <v>14483</v>
      </c>
      <c r="H396" s="8">
        <v>64</v>
      </c>
      <c r="I396" s="8">
        <v>4</v>
      </c>
      <c r="J396" s="1" t="s">
        <v>63</v>
      </c>
    </row>
    <row r="397" spans="1:10" ht="13.8" x14ac:dyDescent="0.25">
      <c r="A397" t="s">
        <v>442</v>
      </c>
      <c r="B397" s="8">
        <v>6</v>
      </c>
      <c r="C397" s="9" t="s">
        <v>16</v>
      </c>
      <c r="D397" s="9" t="s">
        <v>52</v>
      </c>
      <c r="E397" s="1">
        <v>44948</v>
      </c>
      <c r="F397" s="9" t="s">
        <v>13</v>
      </c>
      <c r="G397" s="11">
        <v>1581</v>
      </c>
      <c r="H397" s="8">
        <v>56</v>
      </c>
      <c r="I397" s="8">
        <v>0</v>
      </c>
      <c r="J397" s="1" t="s">
        <v>95</v>
      </c>
    </row>
    <row r="398" spans="1:10" ht="13.8" x14ac:dyDescent="0.25">
      <c r="A398" t="s">
        <v>443</v>
      </c>
      <c r="B398" s="8">
        <v>19</v>
      </c>
      <c r="C398" s="9" t="s">
        <v>11</v>
      </c>
      <c r="D398" s="9" t="s">
        <v>62</v>
      </c>
      <c r="E398" s="1">
        <v>45074</v>
      </c>
      <c r="F398" s="9" t="s">
        <v>26</v>
      </c>
      <c r="G398" s="11">
        <v>13509</v>
      </c>
      <c r="H398" s="8">
        <v>74</v>
      </c>
      <c r="I398" s="8">
        <v>3</v>
      </c>
      <c r="J398" s="1" t="s">
        <v>35</v>
      </c>
    </row>
    <row r="399" spans="1:10" ht="13.8" x14ac:dyDescent="0.25">
      <c r="A399" t="s">
        <v>444</v>
      </c>
      <c r="B399" s="8">
        <v>69</v>
      </c>
      <c r="C399" s="9" t="s">
        <v>16</v>
      </c>
      <c r="D399" s="9" t="s">
        <v>62</v>
      </c>
      <c r="E399" s="1">
        <v>45001</v>
      </c>
      <c r="F399" s="9" t="s">
        <v>13</v>
      </c>
      <c r="G399" s="11">
        <v>19030</v>
      </c>
      <c r="H399" s="8">
        <v>61</v>
      </c>
      <c r="I399" s="8">
        <v>3</v>
      </c>
      <c r="J399" s="1" t="s">
        <v>63</v>
      </c>
    </row>
    <row r="400" spans="1:10" ht="13.8" x14ac:dyDescent="0.25">
      <c r="A400" t="s">
        <v>445</v>
      </c>
      <c r="B400" s="8">
        <v>38</v>
      </c>
      <c r="C400" s="9" t="s">
        <v>16</v>
      </c>
      <c r="D400" s="9" t="s">
        <v>52</v>
      </c>
      <c r="E400" s="1">
        <v>45496</v>
      </c>
      <c r="F400" s="9" t="s">
        <v>29</v>
      </c>
      <c r="G400" s="11">
        <v>17439</v>
      </c>
      <c r="H400" s="8">
        <v>43</v>
      </c>
      <c r="I400" s="8">
        <v>0</v>
      </c>
      <c r="J400" s="1" t="s">
        <v>19</v>
      </c>
    </row>
    <row r="401" spans="1:10" ht="13.8" x14ac:dyDescent="0.25">
      <c r="A401" t="s">
        <v>446</v>
      </c>
      <c r="B401" s="8">
        <v>34</v>
      </c>
      <c r="C401" s="9" t="s">
        <v>16</v>
      </c>
      <c r="D401" s="9" t="s">
        <v>52</v>
      </c>
      <c r="E401" s="1">
        <v>44975</v>
      </c>
      <c r="F401" s="9" t="s">
        <v>13</v>
      </c>
      <c r="G401" s="11">
        <v>40723</v>
      </c>
      <c r="H401" s="8">
        <v>87</v>
      </c>
      <c r="I401" s="8">
        <v>3</v>
      </c>
      <c r="J401" s="1" t="s">
        <v>126</v>
      </c>
    </row>
    <row r="402" spans="1:10" ht="13.8" x14ac:dyDescent="0.25">
      <c r="A402" t="s">
        <v>447</v>
      </c>
      <c r="B402" s="8">
        <v>56</v>
      </c>
      <c r="C402" s="9" t="s">
        <v>11</v>
      </c>
      <c r="D402" s="9" t="s">
        <v>52</v>
      </c>
      <c r="E402" s="1">
        <v>45611</v>
      </c>
      <c r="F402" s="9" t="s">
        <v>18</v>
      </c>
      <c r="G402" s="11">
        <v>46943</v>
      </c>
      <c r="H402" s="8">
        <v>97</v>
      </c>
      <c r="I402" s="8">
        <v>3</v>
      </c>
      <c r="J402" s="1" t="s">
        <v>54</v>
      </c>
    </row>
    <row r="403" spans="1:10" ht="13.8" x14ac:dyDescent="0.25">
      <c r="A403" t="s">
        <v>448</v>
      </c>
      <c r="B403" s="8">
        <v>84</v>
      </c>
      <c r="C403" s="9" t="s">
        <v>16</v>
      </c>
      <c r="D403" s="9" t="s">
        <v>12</v>
      </c>
      <c r="E403" s="1">
        <v>45081</v>
      </c>
      <c r="F403" s="9" t="s">
        <v>29</v>
      </c>
      <c r="G403" s="11">
        <v>22013</v>
      </c>
      <c r="H403" s="8">
        <v>79</v>
      </c>
      <c r="I403" s="8">
        <v>1</v>
      </c>
      <c r="J403" s="1" t="s">
        <v>38</v>
      </c>
    </row>
    <row r="404" spans="1:10" ht="13.8" x14ac:dyDescent="0.25">
      <c r="A404" t="s">
        <v>449</v>
      </c>
      <c r="B404" s="8">
        <v>18</v>
      </c>
      <c r="C404" s="9" t="s">
        <v>16</v>
      </c>
      <c r="D404" s="9" t="s">
        <v>25</v>
      </c>
      <c r="E404" s="1">
        <v>45331</v>
      </c>
      <c r="F404" s="9" t="s">
        <v>26</v>
      </c>
      <c r="G404" s="11">
        <v>40943</v>
      </c>
      <c r="H404" s="8">
        <v>86</v>
      </c>
      <c r="I404" s="8">
        <v>4</v>
      </c>
      <c r="J404" s="1" t="s">
        <v>14</v>
      </c>
    </row>
    <row r="405" spans="1:10" ht="13.8" x14ac:dyDescent="0.25">
      <c r="A405" t="s">
        <v>450</v>
      </c>
      <c r="B405" s="8">
        <v>19</v>
      </c>
      <c r="C405" s="9" t="s">
        <v>11</v>
      </c>
      <c r="D405" s="9" t="s">
        <v>25</v>
      </c>
      <c r="E405" s="1">
        <v>45389</v>
      </c>
      <c r="F405" s="9" t="s">
        <v>26</v>
      </c>
      <c r="G405" s="11">
        <v>46486</v>
      </c>
      <c r="H405" s="8">
        <v>42</v>
      </c>
      <c r="I405" s="8">
        <v>3</v>
      </c>
      <c r="J405" s="1" t="s">
        <v>50</v>
      </c>
    </row>
    <row r="406" spans="1:10" ht="13.8" x14ac:dyDescent="0.25">
      <c r="A406" t="s">
        <v>451</v>
      </c>
      <c r="B406" s="8">
        <v>11</v>
      </c>
      <c r="C406" s="9" t="s">
        <v>16</v>
      </c>
      <c r="D406" s="9" t="s">
        <v>12</v>
      </c>
      <c r="E406" s="1">
        <v>45145</v>
      </c>
      <c r="F406" s="9" t="s">
        <v>22</v>
      </c>
      <c r="G406" s="11">
        <v>46014</v>
      </c>
      <c r="H406" s="8">
        <v>73</v>
      </c>
      <c r="I406" s="8">
        <v>1</v>
      </c>
      <c r="J406" s="1" t="s">
        <v>30</v>
      </c>
    </row>
    <row r="407" spans="1:10" ht="13.8" x14ac:dyDescent="0.25">
      <c r="A407" t="s">
        <v>452</v>
      </c>
      <c r="B407" s="8">
        <v>77</v>
      </c>
      <c r="C407" s="9" t="s">
        <v>16</v>
      </c>
      <c r="D407" s="9" t="s">
        <v>25</v>
      </c>
      <c r="E407" s="1">
        <v>45139</v>
      </c>
      <c r="F407" s="9" t="s">
        <v>29</v>
      </c>
      <c r="G407" s="11">
        <v>5922</v>
      </c>
      <c r="H407" s="8">
        <v>69</v>
      </c>
      <c r="I407" s="8">
        <v>4</v>
      </c>
      <c r="J407" s="1" t="s">
        <v>30</v>
      </c>
    </row>
    <row r="408" spans="1:10" ht="13.8" x14ac:dyDescent="0.25">
      <c r="A408" t="s">
        <v>453</v>
      </c>
      <c r="B408" s="8">
        <v>87</v>
      </c>
      <c r="C408" s="9" t="s">
        <v>16</v>
      </c>
      <c r="D408" s="9" t="s">
        <v>52</v>
      </c>
      <c r="E408" s="1">
        <v>45414</v>
      </c>
      <c r="F408" s="9" t="s">
        <v>13</v>
      </c>
      <c r="G408" s="11">
        <v>9951</v>
      </c>
      <c r="H408" s="8">
        <v>50</v>
      </c>
      <c r="I408" s="8">
        <v>0</v>
      </c>
      <c r="J408" s="1" t="s">
        <v>66</v>
      </c>
    </row>
    <row r="409" spans="1:10" ht="13.8" x14ac:dyDescent="0.25">
      <c r="A409" t="s">
        <v>454</v>
      </c>
      <c r="B409" s="8">
        <v>86</v>
      </c>
      <c r="C409" s="9" t="s">
        <v>11</v>
      </c>
      <c r="D409" s="9" t="s">
        <v>25</v>
      </c>
      <c r="E409" s="1">
        <v>45523</v>
      </c>
      <c r="F409" s="9" t="s">
        <v>53</v>
      </c>
      <c r="G409" s="11">
        <v>2531</v>
      </c>
      <c r="H409" s="8">
        <v>91</v>
      </c>
      <c r="I409" s="8">
        <v>4</v>
      </c>
      <c r="J409" s="1" t="s">
        <v>33</v>
      </c>
    </row>
    <row r="410" spans="1:10" ht="13.8" x14ac:dyDescent="0.25">
      <c r="A410" t="s">
        <v>455</v>
      </c>
      <c r="B410" s="8">
        <v>67</v>
      </c>
      <c r="C410" s="9" t="s">
        <v>11</v>
      </c>
      <c r="D410" s="9" t="s">
        <v>25</v>
      </c>
      <c r="E410" s="1">
        <v>45263</v>
      </c>
      <c r="F410" s="9" t="s">
        <v>18</v>
      </c>
      <c r="G410" s="11">
        <v>28247</v>
      </c>
      <c r="H410" s="8">
        <v>88</v>
      </c>
      <c r="I410" s="8">
        <v>3</v>
      </c>
      <c r="J410" s="1" t="s">
        <v>57</v>
      </c>
    </row>
    <row r="411" spans="1:10" ht="13.8" x14ac:dyDescent="0.25">
      <c r="A411" t="s">
        <v>456</v>
      </c>
      <c r="B411" s="8">
        <v>72</v>
      </c>
      <c r="C411" s="9" t="s">
        <v>11</v>
      </c>
      <c r="D411" s="9" t="s">
        <v>12</v>
      </c>
      <c r="E411" s="1">
        <v>45356</v>
      </c>
      <c r="F411" s="9" t="s">
        <v>22</v>
      </c>
      <c r="G411" s="11">
        <v>11461</v>
      </c>
      <c r="H411" s="8">
        <v>59</v>
      </c>
      <c r="I411" s="8">
        <v>2</v>
      </c>
      <c r="J411" s="1" t="s">
        <v>48</v>
      </c>
    </row>
    <row r="412" spans="1:10" ht="13.8" x14ac:dyDescent="0.25">
      <c r="A412" t="s">
        <v>457</v>
      </c>
      <c r="B412" s="8">
        <v>43</v>
      </c>
      <c r="C412" s="9" t="s">
        <v>11</v>
      </c>
      <c r="D412" s="9" t="s">
        <v>12</v>
      </c>
      <c r="E412" s="1">
        <v>45586</v>
      </c>
      <c r="F412" s="9" t="s">
        <v>29</v>
      </c>
      <c r="G412" s="11">
        <v>16098</v>
      </c>
      <c r="H412" s="8">
        <v>58</v>
      </c>
      <c r="I412" s="8">
        <v>0</v>
      </c>
      <c r="J412" s="1" t="s">
        <v>92</v>
      </c>
    </row>
    <row r="413" spans="1:10" ht="13.8" x14ac:dyDescent="0.25">
      <c r="A413" t="s">
        <v>458</v>
      </c>
      <c r="B413" s="8">
        <v>36</v>
      </c>
      <c r="C413" s="9" t="s">
        <v>16</v>
      </c>
      <c r="D413" s="9" t="s">
        <v>62</v>
      </c>
      <c r="E413" s="1">
        <v>45220</v>
      </c>
      <c r="F413" s="9" t="s">
        <v>26</v>
      </c>
      <c r="G413" s="11">
        <v>13581</v>
      </c>
      <c r="H413" s="8">
        <v>52</v>
      </c>
      <c r="I413" s="8">
        <v>4</v>
      </c>
      <c r="J413" s="1" t="s">
        <v>27</v>
      </c>
    </row>
    <row r="414" spans="1:10" ht="13.8" x14ac:dyDescent="0.25">
      <c r="A414" t="s">
        <v>459</v>
      </c>
      <c r="B414" s="8">
        <v>4</v>
      </c>
      <c r="C414" s="9" t="s">
        <v>11</v>
      </c>
      <c r="D414" s="9" t="s">
        <v>52</v>
      </c>
      <c r="E414" s="1">
        <v>45410</v>
      </c>
      <c r="F414" s="9" t="s">
        <v>53</v>
      </c>
      <c r="G414" s="11">
        <v>19424</v>
      </c>
      <c r="H414" s="8">
        <v>100</v>
      </c>
      <c r="I414" s="8">
        <v>4</v>
      </c>
      <c r="J414" s="1" t="s">
        <v>50</v>
      </c>
    </row>
    <row r="415" spans="1:10" ht="13.8" x14ac:dyDescent="0.25">
      <c r="A415" t="s">
        <v>460</v>
      </c>
      <c r="B415" s="8">
        <v>60</v>
      </c>
      <c r="C415" s="9" t="s">
        <v>11</v>
      </c>
      <c r="D415" s="9" t="s">
        <v>21</v>
      </c>
      <c r="E415" s="1">
        <v>45116</v>
      </c>
      <c r="F415" s="9" t="s">
        <v>26</v>
      </c>
      <c r="G415" s="11">
        <v>12015</v>
      </c>
      <c r="H415" s="8">
        <v>87</v>
      </c>
      <c r="I415" s="8">
        <v>0</v>
      </c>
      <c r="J415" s="1" t="s">
        <v>78</v>
      </c>
    </row>
    <row r="416" spans="1:10" ht="13.8" x14ac:dyDescent="0.25">
      <c r="A416" t="s">
        <v>461</v>
      </c>
      <c r="B416" s="8">
        <v>20</v>
      </c>
      <c r="C416" s="9" t="s">
        <v>16</v>
      </c>
      <c r="D416" s="9" t="s">
        <v>62</v>
      </c>
      <c r="E416" s="1">
        <v>45109</v>
      </c>
      <c r="F416" s="9" t="s">
        <v>29</v>
      </c>
      <c r="G416" s="11">
        <v>12829</v>
      </c>
      <c r="H416" s="8">
        <v>42</v>
      </c>
      <c r="I416" s="8">
        <v>2</v>
      </c>
      <c r="J416" s="1" t="s">
        <v>78</v>
      </c>
    </row>
    <row r="417" spans="1:10" ht="13.8" x14ac:dyDescent="0.25">
      <c r="A417" t="s">
        <v>462</v>
      </c>
      <c r="B417" s="8">
        <v>83</v>
      </c>
      <c r="C417" s="9" t="s">
        <v>16</v>
      </c>
      <c r="D417" s="9" t="s">
        <v>17</v>
      </c>
      <c r="E417" s="1">
        <v>44982</v>
      </c>
      <c r="F417" s="9" t="s">
        <v>53</v>
      </c>
      <c r="G417" s="11">
        <v>44336</v>
      </c>
      <c r="H417" s="8">
        <v>68</v>
      </c>
      <c r="I417" s="8">
        <v>0</v>
      </c>
      <c r="J417" s="1" t="s">
        <v>126</v>
      </c>
    </row>
    <row r="418" spans="1:10" ht="13.8" x14ac:dyDescent="0.25">
      <c r="A418" t="s">
        <v>463</v>
      </c>
      <c r="B418" s="8">
        <v>40</v>
      </c>
      <c r="C418" s="9" t="s">
        <v>16</v>
      </c>
      <c r="D418" s="9" t="s">
        <v>17</v>
      </c>
      <c r="E418" s="1">
        <v>45153</v>
      </c>
      <c r="F418" s="9" t="s">
        <v>22</v>
      </c>
      <c r="G418" s="11">
        <v>34086</v>
      </c>
      <c r="H418" s="8">
        <v>75</v>
      </c>
      <c r="I418" s="8">
        <v>0</v>
      </c>
      <c r="J418" s="1" t="s">
        <v>30</v>
      </c>
    </row>
    <row r="419" spans="1:10" ht="13.8" x14ac:dyDescent="0.25">
      <c r="A419" t="s">
        <v>464</v>
      </c>
      <c r="B419" s="8">
        <v>30</v>
      </c>
      <c r="C419" s="9" t="s">
        <v>16</v>
      </c>
      <c r="D419" s="9" t="s">
        <v>25</v>
      </c>
      <c r="E419" s="1">
        <v>45428</v>
      </c>
      <c r="F419" s="9" t="s">
        <v>29</v>
      </c>
      <c r="G419" s="11">
        <v>38735</v>
      </c>
      <c r="H419" s="8">
        <v>95</v>
      </c>
      <c r="I419" s="8">
        <v>4</v>
      </c>
      <c r="J419" s="1" t="s">
        <v>66</v>
      </c>
    </row>
    <row r="420" spans="1:10" ht="13.8" x14ac:dyDescent="0.25">
      <c r="A420" t="s">
        <v>465</v>
      </c>
      <c r="B420" s="8">
        <v>70</v>
      </c>
      <c r="C420" s="9" t="s">
        <v>16</v>
      </c>
      <c r="D420" s="9" t="s">
        <v>25</v>
      </c>
      <c r="E420" s="1">
        <v>45001</v>
      </c>
      <c r="F420" s="9" t="s">
        <v>18</v>
      </c>
      <c r="G420" s="11">
        <v>33338</v>
      </c>
      <c r="H420" s="8">
        <v>64</v>
      </c>
      <c r="I420" s="8">
        <v>5</v>
      </c>
      <c r="J420" s="1" t="s">
        <v>63</v>
      </c>
    </row>
    <row r="421" spans="1:10" ht="13.8" x14ac:dyDescent="0.25">
      <c r="A421" t="s">
        <v>466</v>
      </c>
      <c r="B421" s="8">
        <v>49</v>
      </c>
      <c r="C421" s="9" t="s">
        <v>11</v>
      </c>
      <c r="D421" s="9" t="s">
        <v>21</v>
      </c>
      <c r="E421" s="1">
        <v>44985</v>
      </c>
      <c r="F421" s="9" t="s">
        <v>18</v>
      </c>
      <c r="G421" s="11">
        <v>39336</v>
      </c>
      <c r="H421" s="8">
        <v>94</v>
      </c>
      <c r="I421" s="8">
        <v>3</v>
      </c>
      <c r="J421" s="1" t="s">
        <v>126</v>
      </c>
    </row>
    <row r="422" spans="1:10" ht="13.8" x14ac:dyDescent="0.25">
      <c r="A422" t="s">
        <v>467</v>
      </c>
      <c r="B422" s="8">
        <v>25</v>
      </c>
      <c r="C422" s="9" t="s">
        <v>16</v>
      </c>
      <c r="D422" s="9" t="s">
        <v>62</v>
      </c>
      <c r="E422" s="1">
        <v>45349</v>
      </c>
      <c r="F422" s="9" t="s">
        <v>22</v>
      </c>
      <c r="G422" s="11">
        <v>20545</v>
      </c>
      <c r="H422" s="8">
        <v>99</v>
      </c>
      <c r="I422" s="8">
        <v>3</v>
      </c>
      <c r="J422" s="1" t="s">
        <v>14</v>
      </c>
    </row>
    <row r="423" spans="1:10" ht="13.8" x14ac:dyDescent="0.25">
      <c r="A423" t="s">
        <v>468</v>
      </c>
      <c r="B423" s="8">
        <v>60</v>
      </c>
      <c r="C423" s="9" t="s">
        <v>11</v>
      </c>
      <c r="D423" s="9" t="s">
        <v>52</v>
      </c>
      <c r="E423" s="1">
        <v>45555</v>
      </c>
      <c r="F423" s="9" t="s">
        <v>53</v>
      </c>
      <c r="G423" s="11">
        <v>1745</v>
      </c>
      <c r="H423" s="8">
        <v>44</v>
      </c>
      <c r="I423" s="8">
        <v>2</v>
      </c>
      <c r="J423" s="1" t="s">
        <v>45</v>
      </c>
    </row>
    <row r="424" spans="1:10" ht="13.8" x14ac:dyDescent="0.25">
      <c r="A424" t="s">
        <v>469</v>
      </c>
      <c r="B424" s="8">
        <v>33</v>
      </c>
      <c r="C424" s="9" t="s">
        <v>16</v>
      </c>
      <c r="D424" s="9" t="s">
        <v>25</v>
      </c>
      <c r="E424" s="1">
        <v>45003</v>
      </c>
      <c r="F424" s="9" t="s">
        <v>18</v>
      </c>
      <c r="G424" s="11">
        <v>16207</v>
      </c>
      <c r="H424" s="8">
        <v>40</v>
      </c>
      <c r="I424" s="8">
        <v>4</v>
      </c>
      <c r="J424" s="1" t="s">
        <v>63</v>
      </c>
    </row>
    <row r="425" spans="1:10" ht="13.8" x14ac:dyDescent="0.25">
      <c r="A425" t="s">
        <v>470</v>
      </c>
      <c r="B425" s="8">
        <v>41</v>
      </c>
      <c r="C425" s="9" t="s">
        <v>16</v>
      </c>
      <c r="D425" s="9" t="s">
        <v>25</v>
      </c>
      <c r="E425" s="1">
        <v>45071</v>
      </c>
      <c r="F425" s="9" t="s">
        <v>13</v>
      </c>
      <c r="G425" s="11">
        <v>30193</v>
      </c>
      <c r="H425" s="8">
        <v>76</v>
      </c>
      <c r="I425" s="8">
        <v>0</v>
      </c>
      <c r="J425" s="1" t="s">
        <v>35</v>
      </c>
    </row>
    <row r="426" spans="1:10" ht="13.8" x14ac:dyDescent="0.25">
      <c r="A426" t="s">
        <v>471</v>
      </c>
      <c r="B426" s="8">
        <v>72</v>
      </c>
      <c r="C426" s="9" t="s">
        <v>11</v>
      </c>
      <c r="D426" s="9" t="s">
        <v>21</v>
      </c>
      <c r="E426" s="1">
        <v>45588</v>
      </c>
      <c r="F426" s="9" t="s">
        <v>53</v>
      </c>
      <c r="G426" s="11">
        <v>36358</v>
      </c>
      <c r="H426" s="8">
        <v>88</v>
      </c>
      <c r="I426" s="8">
        <v>0</v>
      </c>
      <c r="J426" s="1" t="s">
        <v>92</v>
      </c>
    </row>
    <row r="427" spans="1:10" ht="13.8" x14ac:dyDescent="0.25">
      <c r="A427" t="s">
        <v>472</v>
      </c>
      <c r="B427" s="8">
        <v>84</v>
      </c>
      <c r="C427" s="9" t="s">
        <v>11</v>
      </c>
      <c r="D427" s="9" t="s">
        <v>25</v>
      </c>
      <c r="E427" s="1">
        <v>45054</v>
      </c>
      <c r="F427" s="9" t="s">
        <v>13</v>
      </c>
      <c r="G427" s="11">
        <v>16158</v>
      </c>
      <c r="H427" s="8">
        <v>100</v>
      </c>
      <c r="I427" s="8">
        <v>3</v>
      </c>
      <c r="J427" s="1" t="s">
        <v>35</v>
      </c>
    </row>
    <row r="428" spans="1:10" ht="13.8" x14ac:dyDescent="0.25">
      <c r="A428" t="s">
        <v>473</v>
      </c>
      <c r="B428" s="8">
        <v>40</v>
      </c>
      <c r="C428" s="9" t="s">
        <v>16</v>
      </c>
      <c r="D428" s="9" t="s">
        <v>12</v>
      </c>
      <c r="E428" s="1">
        <v>45546</v>
      </c>
      <c r="F428" s="9" t="s">
        <v>26</v>
      </c>
      <c r="G428" s="11">
        <v>33312</v>
      </c>
      <c r="H428" s="8">
        <v>57</v>
      </c>
      <c r="I428" s="8">
        <v>3</v>
      </c>
      <c r="J428" s="1" t="s">
        <v>45</v>
      </c>
    </row>
    <row r="429" spans="1:10" ht="13.8" x14ac:dyDescent="0.25">
      <c r="A429" t="s">
        <v>474</v>
      </c>
      <c r="B429" s="8">
        <v>59</v>
      </c>
      <c r="C429" s="9" t="s">
        <v>11</v>
      </c>
      <c r="D429" s="9" t="s">
        <v>62</v>
      </c>
      <c r="E429" s="1">
        <v>44994</v>
      </c>
      <c r="F429" s="9" t="s">
        <v>22</v>
      </c>
      <c r="G429" s="11">
        <v>9134</v>
      </c>
      <c r="H429" s="8">
        <v>43</v>
      </c>
      <c r="I429" s="8">
        <v>3</v>
      </c>
      <c r="J429" s="1" t="s">
        <v>63</v>
      </c>
    </row>
    <row r="430" spans="1:10" ht="13.8" x14ac:dyDescent="0.25">
      <c r="A430" t="s">
        <v>475</v>
      </c>
      <c r="B430" s="8">
        <v>72</v>
      </c>
      <c r="C430" s="9" t="s">
        <v>11</v>
      </c>
      <c r="D430" s="9" t="s">
        <v>62</v>
      </c>
      <c r="E430" s="1">
        <v>44934</v>
      </c>
      <c r="F430" s="9" t="s">
        <v>26</v>
      </c>
      <c r="G430" s="11">
        <v>9305</v>
      </c>
      <c r="H430" s="8">
        <v>52</v>
      </c>
      <c r="I430" s="8">
        <v>0</v>
      </c>
      <c r="J430" s="1" t="s">
        <v>95</v>
      </c>
    </row>
    <row r="431" spans="1:10" ht="13.8" x14ac:dyDescent="0.25">
      <c r="A431" t="s">
        <v>476</v>
      </c>
      <c r="B431" s="8">
        <v>10</v>
      </c>
      <c r="C431" s="9" t="s">
        <v>11</v>
      </c>
      <c r="D431" s="9" t="s">
        <v>17</v>
      </c>
      <c r="E431" s="1">
        <v>44937</v>
      </c>
      <c r="F431" s="9" t="s">
        <v>13</v>
      </c>
      <c r="G431" s="11">
        <v>38397</v>
      </c>
      <c r="H431" s="8">
        <v>45</v>
      </c>
      <c r="I431" s="8">
        <v>3</v>
      </c>
      <c r="J431" s="1" t="s">
        <v>95</v>
      </c>
    </row>
    <row r="432" spans="1:10" ht="13.8" x14ac:dyDescent="0.25">
      <c r="A432" t="s">
        <v>477</v>
      </c>
      <c r="B432" s="8">
        <v>29</v>
      </c>
      <c r="C432" s="9" t="s">
        <v>16</v>
      </c>
      <c r="D432" s="9" t="s">
        <v>52</v>
      </c>
      <c r="E432" s="1">
        <v>44940</v>
      </c>
      <c r="F432" s="9" t="s">
        <v>13</v>
      </c>
      <c r="G432" s="11">
        <v>10168</v>
      </c>
      <c r="H432" s="8">
        <v>49</v>
      </c>
      <c r="I432" s="8">
        <v>5</v>
      </c>
      <c r="J432" s="1" t="s">
        <v>95</v>
      </c>
    </row>
    <row r="433" spans="1:10" ht="13.8" x14ac:dyDescent="0.25">
      <c r="A433" t="s">
        <v>478</v>
      </c>
      <c r="B433" s="8">
        <v>66</v>
      </c>
      <c r="C433" s="9" t="s">
        <v>16</v>
      </c>
      <c r="D433" s="9" t="s">
        <v>17</v>
      </c>
      <c r="E433" s="1">
        <v>45032</v>
      </c>
      <c r="F433" s="9" t="s">
        <v>13</v>
      </c>
      <c r="G433" s="11">
        <v>43294</v>
      </c>
      <c r="H433" s="8">
        <v>49</v>
      </c>
      <c r="I433" s="8">
        <v>3</v>
      </c>
      <c r="J433" s="1" t="s">
        <v>80</v>
      </c>
    </row>
    <row r="434" spans="1:10" ht="13.8" x14ac:dyDescent="0.25">
      <c r="A434" t="s">
        <v>479</v>
      </c>
      <c r="B434" s="8">
        <v>43</v>
      </c>
      <c r="C434" s="9" t="s">
        <v>11</v>
      </c>
      <c r="D434" s="9" t="s">
        <v>52</v>
      </c>
      <c r="E434" s="1">
        <v>45114</v>
      </c>
      <c r="F434" s="9" t="s">
        <v>22</v>
      </c>
      <c r="G434" s="11">
        <v>22536</v>
      </c>
      <c r="H434" s="8">
        <v>92</v>
      </c>
      <c r="I434" s="8">
        <v>2</v>
      </c>
      <c r="J434" s="1" t="s">
        <v>78</v>
      </c>
    </row>
    <row r="435" spans="1:10" ht="13.8" x14ac:dyDescent="0.25">
      <c r="A435" t="s">
        <v>480</v>
      </c>
      <c r="B435" s="8">
        <v>30</v>
      </c>
      <c r="C435" s="9" t="s">
        <v>11</v>
      </c>
      <c r="D435" s="9" t="s">
        <v>12</v>
      </c>
      <c r="E435" s="1">
        <v>45281</v>
      </c>
      <c r="F435" s="9" t="s">
        <v>53</v>
      </c>
      <c r="G435" s="11">
        <v>42526</v>
      </c>
      <c r="H435" s="8">
        <v>81</v>
      </c>
      <c r="I435" s="8">
        <v>5</v>
      </c>
      <c r="J435" s="1" t="s">
        <v>57</v>
      </c>
    </row>
    <row r="436" spans="1:10" ht="13.8" x14ac:dyDescent="0.25">
      <c r="A436" t="s">
        <v>481</v>
      </c>
      <c r="B436" s="8">
        <v>14</v>
      </c>
      <c r="C436" s="9" t="s">
        <v>16</v>
      </c>
      <c r="D436" s="9" t="s">
        <v>12</v>
      </c>
      <c r="E436" s="1">
        <v>45411</v>
      </c>
      <c r="F436" s="9" t="s">
        <v>29</v>
      </c>
      <c r="G436" s="11">
        <v>10707</v>
      </c>
      <c r="H436" s="8">
        <v>54</v>
      </c>
      <c r="I436" s="8">
        <v>1</v>
      </c>
      <c r="J436" s="1" t="s">
        <v>50</v>
      </c>
    </row>
    <row r="437" spans="1:10" ht="13.8" x14ac:dyDescent="0.25">
      <c r="A437" t="s">
        <v>482</v>
      </c>
      <c r="B437" s="8">
        <v>83</v>
      </c>
      <c r="C437" s="9" t="s">
        <v>16</v>
      </c>
      <c r="D437" s="9" t="s">
        <v>17</v>
      </c>
      <c r="E437" s="1">
        <v>45478</v>
      </c>
      <c r="F437" s="9" t="s">
        <v>18</v>
      </c>
      <c r="G437" s="11">
        <v>47566</v>
      </c>
      <c r="H437" s="8">
        <v>61</v>
      </c>
      <c r="I437" s="8">
        <v>5</v>
      </c>
      <c r="J437" s="1" t="s">
        <v>19</v>
      </c>
    </row>
    <row r="438" spans="1:10" ht="13.8" x14ac:dyDescent="0.25">
      <c r="A438" t="s">
        <v>483</v>
      </c>
      <c r="B438" s="8">
        <v>48</v>
      </c>
      <c r="C438" s="9" t="s">
        <v>16</v>
      </c>
      <c r="D438" s="9" t="s">
        <v>12</v>
      </c>
      <c r="E438" s="1">
        <v>45407</v>
      </c>
      <c r="F438" s="9" t="s">
        <v>22</v>
      </c>
      <c r="G438" s="11">
        <v>7707</v>
      </c>
      <c r="H438" s="8">
        <v>67</v>
      </c>
      <c r="I438" s="8">
        <v>3</v>
      </c>
      <c r="J438" s="1" t="s">
        <v>50</v>
      </c>
    </row>
    <row r="439" spans="1:10" ht="13.8" x14ac:dyDescent="0.25">
      <c r="A439" t="s">
        <v>484</v>
      </c>
      <c r="B439" s="8">
        <v>12</v>
      </c>
      <c r="C439" s="9" t="s">
        <v>11</v>
      </c>
      <c r="D439" s="9" t="s">
        <v>25</v>
      </c>
      <c r="E439" s="1">
        <v>45284</v>
      </c>
      <c r="F439" s="9" t="s">
        <v>18</v>
      </c>
      <c r="G439" s="11">
        <v>21778</v>
      </c>
      <c r="H439" s="8">
        <v>80</v>
      </c>
      <c r="I439" s="8">
        <v>3</v>
      </c>
      <c r="J439" s="1" t="s">
        <v>57</v>
      </c>
    </row>
    <row r="440" spans="1:10" ht="13.8" x14ac:dyDescent="0.25">
      <c r="A440" t="s">
        <v>485</v>
      </c>
      <c r="B440" s="8">
        <v>2</v>
      </c>
      <c r="C440" s="9" t="s">
        <v>16</v>
      </c>
      <c r="D440" s="9" t="s">
        <v>17</v>
      </c>
      <c r="E440" s="1">
        <v>44977</v>
      </c>
      <c r="F440" s="9" t="s">
        <v>13</v>
      </c>
      <c r="G440" s="11">
        <v>18170</v>
      </c>
      <c r="H440" s="8">
        <v>84</v>
      </c>
      <c r="I440" s="8">
        <v>3</v>
      </c>
      <c r="J440" s="1" t="s">
        <v>126</v>
      </c>
    </row>
    <row r="441" spans="1:10" ht="13.8" x14ac:dyDescent="0.25">
      <c r="A441" t="s">
        <v>486</v>
      </c>
      <c r="B441" s="8">
        <v>6</v>
      </c>
      <c r="C441" s="9" t="s">
        <v>16</v>
      </c>
      <c r="D441" s="9" t="s">
        <v>62</v>
      </c>
      <c r="E441" s="1">
        <v>45411</v>
      </c>
      <c r="F441" s="9" t="s">
        <v>13</v>
      </c>
      <c r="G441" s="11">
        <v>30455</v>
      </c>
      <c r="H441" s="8">
        <v>48</v>
      </c>
      <c r="I441" s="8">
        <v>2</v>
      </c>
      <c r="J441" s="1" t="s">
        <v>50</v>
      </c>
    </row>
    <row r="442" spans="1:10" ht="13.8" x14ac:dyDescent="0.25">
      <c r="A442" t="s">
        <v>487</v>
      </c>
      <c r="B442" s="8">
        <v>16</v>
      </c>
      <c r="C442" s="9" t="s">
        <v>11</v>
      </c>
      <c r="D442" s="9" t="s">
        <v>62</v>
      </c>
      <c r="E442" s="1">
        <v>45407</v>
      </c>
      <c r="F442" s="9" t="s">
        <v>26</v>
      </c>
      <c r="G442" s="11">
        <v>37206</v>
      </c>
      <c r="H442" s="8">
        <v>42</v>
      </c>
      <c r="I442" s="8">
        <v>0</v>
      </c>
      <c r="J442" s="1" t="s">
        <v>50</v>
      </c>
    </row>
    <row r="443" spans="1:10" ht="13.8" x14ac:dyDescent="0.25">
      <c r="A443" t="s">
        <v>488</v>
      </c>
      <c r="B443" s="8">
        <v>16</v>
      </c>
      <c r="C443" s="9" t="s">
        <v>16</v>
      </c>
      <c r="D443" s="9" t="s">
        <v>21</v>
      </c>
      <c r="E443" s="1">
        <v>45312</v>
      </c>
      <c r="F443" s="9" t="s">
        <v>13</v>
      </c>
      <c r="G443" s="11">
        <v>35626</v>
      </c>
      <c r="H443" s="8">
        <v>81</v>
      </c>
      <c r="I443" s="8">
        <v>0</v>
      </c>
      <c r="J443" s="1" t="s">
        <v>23</v>
      </c>
    </row>
    <row r="444" spans="1:10" ht="13.8" x14ac:dyDescent="0.25">
      <c r="A444" t="s">
        <v>489</v>
      </c>
      <c r="B444" s="8">
        <v>13</v>
      </c>
      <c r="C444" s="9" t="s">
        <v>11</v>
      </c>
      <c r="D444" s="9" t="s">
        <v>25</v>
      </c>
      <c r="E444" s="1">
        <v>45579</v>
      </c>
      <c r="F444" s="9" t="s">
        <v>13</v>
      </c>
      <c r="G444" s="11">
        <v>4216</v>
      </c>
      <c r="H444" s="8">
        <v>78</v>
      </c>
      <c r="I444" s="8">
        <v>4</v>
      </c>
      <c r="J444" s="1" t="s">
        <v>92</v>
      </c>
    </row>
    <row r="445" spans="1:10" ht="13.8" x14ac:dyDescent="0.25">
      <c r="A445" t="s">
        <v>490</v>
      </c>
      <c r="B445" s="8">
        <v>10</v>
      </c>
      <c r="C445" s="9" t="s">
        <v>16</v>
      </c>
      <c r="D445" s="9" t="s">
        <v>21</v>
      </c>
      <c r="E445" s="1">
        <v>45501</v>
      </c>
      <c r="F445" s="9" t="s">
        <v>29</v>
      </c>
      <c r="G445" s="11">
        <v>23946</v>
      </c>
      <c r="H445" s="8">
        <v>82</v>
      </c>
      <c r="I445" s="8">
        <v>4</v>
      </c>
      <c r="J445" s="1" t="s">
        <v>19</v>
      </c>
    </row>
    <row r="446" spans="1:10" ht="13.8" x14ac:dyDescent="0.25">
      <c r="A446" t="s">
        <v>491</v>
      </c>
      <c r="B446" s="8">
        <v>41</v>
      </c>
      <c r="C446" s="9" t="s">
        <v>16</v>
      </c>
      <c r="D446" s="9" t="s">
        <v>17</v>
      </c>
      <c r="E446" s="1">
        <v>45392</v>
      </c>
      <c r="F446" s="9" t="s">
        <v>53</v>
      </c>
      <c r="G446" s="11">
        <v>49808</v>
      </c>
      <c r="H446" s="8">
        <v>57</v>
      </c>
      <c r="I446" s="8">
        <v>1</v>
      </c>
      <c r="J446" s="1" t="s">
        <v>50</v>
      </c>
    </row>
    <row r="447" spans="1:10" ht="13.8" x14ac:dyDescent="0.25">
      <c r="A447" t="s">
        <v>492</v>
      </c>
      <c r="B447" s="8">
        <v>72</v>
      </c>
      <c r="C447" s="9" t="s">
        <v>11</v>
      </c>
      <c r="D447" s="9" t="s">
        <v>52</v>
      </c>
      <c r="E447" s="1">
        <v>45608</v>
      </c>
      <c r="F447" s="9" t="s">
        <v>22</v>
      </c>
      <c r="G447" s="11">
        <v>19089</v>
      </c>
      <c r="H447" s="8">
        <v>58</v>
      </c>
      <c r="I447" s="8">
        <v>5</v>
      </c>
      <c r="J447" s="1" t="s">
        <v>54</v>
      </c>
    </row>
    <row r="448" spans="1:10" ht="13.8" x14ac:dyDescent="0.25">
      <c r="A448" t="s">
        <v>493</v>
      </c>
      <c r="B448" s="8">
        <v>28</v>
      </c>
      <c r="C448" s="9" t="s">
        <v>16</v>
      </c>
      <c r="D448" s="9" t="s">
        <v>62</v>
      </c>
      <c r="E448" s="1">
        <v>45007</v>
      </c>
      <c r="F448" s="9" t="s">
        <v>53</v>
      </c>
      <c r="G448" s="11">
        <v>5166</v>
      </c>
      <c r="H448" s="8">
        <v>97</v>
      </c>
      <c r="I448" s="8">
        <v>1</v>
      </c>
      <c r="J448" s="1" t="s">
        <v>63</v>
      </c>
    </row>
    <row r="449" spans="1:10" ht="13.8" x14ac:dyDescent="0.25">
      <c r="A449" t="s">
        <v>494</v>
      </c>
      <c r="B449" s="8">
        <v>51</v>
      </c>
      <c r="C449" s="9" t="s">
        <v>16</v>
      </c>
      <c r="D449" s="9" t="s">
        <v>17</v>
      </c>
      <c r="E449" s="1">
        <v>45624</v>
      </c>
      <c r="F449" s="9" t="s">
        <v>18</v>
      </c>
      <c r="G449" s="11">
        <v>7089</v>
      </c>
      <c r="H449" s="8">
        <v>79</v>
      </c>
      <c r="I449" s="8">
        <v>0</v>
      </c>
      <c r="J449" s="1" t="s">
        <v>54</v>
      </c>
    </row>
    <row r="450" spans="1:10" ht="13.8" x14ac:dyDescent="0.25">
      <c r="A450" t="s">
        <v>495</v>
      </c>
      <c r="B450" s="8">
        <v>31</v>
      </c>
      <c r="C450" s="9" t="s">
        <v>16</v>
      </c>
      <c r="D450" s="9" t="s">
        <v>52</v>
      </c>
      <c r="E450" s="1">
        <v>45193</v>
      </c>
      <c r="F450" s="9" t="s">
        <v>13</v>
      </c>
      <c r="G450" s="11">
        <v>29412</v>
      </c>
      <c r="H450" s="8">
        <v>77</v>
      </c>
      <c r="I450" s="8">
        <v>2</v>
      </c>
      <c r="J450" s="1" t="s">
        <v>109</v>
      </c>
    </row>
    <row r="451" spans="1:10" ht="13.8" x14ac:dyDescent="0.25">
      <c r="A451" t="s">
        <v>496</v>
      </c>
      <c r="B451" s="8">
        <v>79</v>
      </c>
      <c r="C451" s="9" t="s">
        <v>16</v>
      </c>
      <c r="D451" s="9" t="s">
        <v>12</v>
      </c>
      <c r="E451" s="1">
        <v>44982</v>
      </c>
      <c r="F451" s="9" t="s">
        <v>18</v>
      </c>
      <c r="G451" s="11">
        <v>2562</v>
      </c>
      <c r="H451" s="8">
        <v>90</v>
      </c>
      <c r="I451" s="8">
        <v>2</v>
      </c>
      <c r="J451" s="1" t="s">
        <v>126</v>
      </c>
    </row>
    <row r="452" spans="1:10" ht="13.8" x14ac:dyDescent="0.25">
      <c r="A452" t="s">
        <v>497</v>
      </c>
      <c r="B452" s="8">
        <v>58</v>
      </c>
      <c r="C452" s="9" t="s">
        <v>11</v>
      </c>
      <c r="D452" s="9" t="s">
        <v>21</v>
      </c>
      <c r="E452" s="1">
        <v>45237</v>
      </c>
      <c r="F452" s="9" t="s">
        <v>13</v>
      </c>
      <c r="G452" s="11">
        <v>32877</v>
      </c>
      <c r="H452" s="8">
        <v>74</v>
      </c>
      <c r="I452" s="8">
        <v>2</v>
      </c>
      <c r="J452" s="1" t="s">
        <v>40</v>
      </c>
    </row>
    <row r="453" spans="1:10" ht="13.8" x14ac:dyDescent="0.25">
      <c r="A453" t="s">
        <v>498</v>
      </c>
      <c r="B453" s="8">
        <v>20</v>
      </c>
      <c r="C453" s="9" t="s">
        <v>11</v>
      </c>
      <c r="D453" s="9" t="s">
        <v>62</v>
      </c>
      <c r="E453" s="1">
        <v>45292</v>
      </c>
      <c r="F453" s="9" t="s">
        <v>22</v>
      </c>
      <c r="G453" s="11">
        <v>3656</v>
      </c>
      <c r="H453" s="8">
        <v>41</v>
      </c>
      <c r="I453" s="8">
        <v>1</v>
      </c>
      <c r="J453" s="1" t="s">
        <v>23</v>
      </c>
    </row>
    <row r="454" spans="1:10" ht="13.8" x14ac:dyDescent="0.25">
      <c r="A454" t="s">
        <v>499</v>
      </c>
      <c r="B454" s="8">
        <v>88</v>
      </c>
      <c r="C454" s="9" t="s">
        <v>11</v>
      </c>
      <c r="D454" s="9" t="s">
        <v>21</v>
      </c>
      <c r="E454" s="1">
        <v>45284</v>
      </c>
      <c r="F454" s="9" t="s">
        <v>26</v>
      </c>
      <c r="G454" s="11">
        <v>13996</v>
      </c>
      <c r="H454" s="8">
        <v>69</v>
      </c>
      <c r="I454" s="8">
        <v>0</v>
      </c>
      <c r="J454" s="1" t="s">
        <v>57</v>
      </c>
    </row>
    <row r="455" spans="1:10" ht="13.8" x14ac:dyDescent="0.25">
      <c r="A455" t="s">
        <v>500</v>
      </c>
      <c r="B455" s="8">
        <v>18</v>
      </c>
      <c r="C455" s="9" t="s">
        <v>16</v>
      </c>
      <c r="D455" s="9" t="s">
        <v>12</v>
      </c>
      <c r="E455" s="1">
        <v>45356</v>
      </c>
      <c r="F455" s="9" t="s">
        <v>22</v>
      </c>
      <c r="G455" s="11">
        <v>23994</v>
      </c>
      <c r="H455" s="8">
        <v>88</v>
      </c>
      <c r="I455" s="8">
        <v>1</v>
      </c>
      <c r="J455" s="1" t="s">
        <v>48</v>
      </c>
    </row>
    <row r="456" spans="1:10" ht="13.8" x14ac:dyDescent="0.25">
      <c r="A456" t="s">
        <v>501</v>
      </c>
      <c r="B456" s="8">
        <v>30</v>
      </c>
      <c r="C456" s="9" t="s">
        <v>11</v>
      </c>
      <c r="D456" s="9" t="s">
        <v>62</v>
      </c>
      <c r="E456" s="1">
        <v>45000</v>
      </c>
      <c r="F456" s="9" t="s">
        <v>22</v>
      </c>
      <c r="G456" s="11">
        <v>14515</v>
      </c>
      <c r="H456" s="8">
        <v>73</v>
      </c>
      <c r="I456" s="8">
        <v>2</v>
      </c>
      <c r="J456" s="1" t="s">
        <v>63</v>
      </c>
    </row>
    <row r="457" spans="1:10" ht="13.8" x14ac:dyDescent="0.25">
      <c r="A457" t="s">
        <v>502</v>
      </c>
      <c r="B457" s="8">
        <v>61</v>
      </c>
      <c r="C457" s="9" t="s">
        <v>11</v>
      </c>
      <c r="D457" s="9" t="s">
        <v>17</v>
      </c>
      <c r="E457" s="1">
        <v>45349</v>
      </c>
      <c r="F457" s="9" t="s">
        <v>22</v>
      </c>
      <c r="G457" s="11">
        <v>29884</v>
      </c>
      <c r="H457" s="8">
        <v>52</v>
      </c>
      <c r="I457" s="8">
        <v>5</v>
      </c>
      <c r="J457" s="1" t="s">
        <v>14</v>
      </c>
    </row>
    <row r="458" spans="1:10" ht="13.8" x14ac:dyDescent="0.25">
      <c r="A458" t="s">
        <v>503</v>
      </c>
      <c r="B458" s="8">
        <v>89</v>
      </c>
      <c r="C458" s="9" t="s">
        <v>11</v>
      </c>
      <c r="D458" s="9" t="s">
        <v>25</v>
      </c>
      <c r="E458" s="1">
        <v>44946</v>
      </c>
      <c r="F458" s="9" t="s">
        <v>53</v>
      </c>
      <c r="G458" s="11">
        <v>36653</v>
      </c>
      <c r="H458" s="8">
        <v>63</v>
      </c>
      <c r="I458" s="8">
        <v>2</v>
      </c>
      <c r="J458" s="1" t="s">
        <v>95</v>
      </c>
    </row>
    <row r="459" spans="1:10" ht="13.8" x14ac:dyDescent="0.25">
      <c r="A459" t="s">
        <v>504</v>
      </c>
      <c r="B459" s="8">
        <v>69</v>
      </c>
      <c r="C459" s="9" t="s">
        <v>16</v>
      </c>
      <c r="D459" s="9" t="s">
        <v>17</v>
      </c>
      <c r="E459" s="1">
        <v>45431</v>
      </c>
      <c r="F459" s="9" t="s">
        <v>13</v>
      </c>
      <c r="G459" s="11">
        <v>39535</v>
      </c>
      <c r="H459" s="8">
        <v>70</v>
      </c>
      <c r="I459" s="8">
        <v>5</v>
      </c>
      <c r="J459" s="1" t="s">
        <v>66</v>
      </c>
    </row>
    <row r="460" spans="1:10" ht="13.8" x14ac:dyDescent="0.25">
      <c r="A460" t="s">
        <v>505</v>
      </c>
      <c r="B460" s="8">
        <v>55</v>
      </c>
      <c r="C460" s="9" t="s">
        <v>16</v>
      </c>
      <c r="D460" s="9" t="s">
        <v>52</v>
      </c>
      <c r="E460" s="1">
        <v>45370</v>
      </c>
      <c r="F460" s="9" t="s">
        <v>53</v>
      </c>
      <c r="G460" s="11">
        <v>30785</v>
      </c>
      <c r="H460" s="8">
        <v>81</v>
      </c>
      <c r="I460" s="8">
        <v>5</v>
      </c>
      <c r="J460" s="1" t="s">
        <v>48</v>
      </c>
    </row>
    <row r="461" spans="1:10" ht="13.8" x14ac:dyDescent="0.25">
      <c r="A461" t="s">
        <v>506</v>
      </c>
      <c r="B461" s="8">
        <v>38</v>
      </c>
      <c r="C461" s="9" t="s">
        <v>16</v>
      </c>
      <c r="D461" s="9" t="s">
        <v>21</v>
      </c>
      <c r="E461" s="1">
        <v>45265</v>
      </c>
      <c r="F461" s="9" t="s">
        <v>26</v>
      </c>
      <c r="G461" s="11">
        <v>24005</v>
      </c>
      <c r="H461" s="8">
        <v>89</v>
      </c>
      <c r="I461" s="8">
        <v>1</v>
      </c>
      <c r="J461" s="1" t="s">
        <v>57</v>
      </c>
    </row>
    <row r="462" spans="1:10" ht="13.8" x14ac:dyDescent="0.25">
      <c r="A462" t="s">
        <v>507</v>
      </c>
      <c r="B462" s="8">
        <v>29</v>
      </c>
      <c r="C462" s="9" t="s">
        <v>11</v>
      </c>
      <c r="D462" s="9" t="s">
        <v>17</v>
      </c>
      <c r="E462" s="1">
        <v>45141</v>
      </c>
      <c r="F462" s="9" t="s">
        <v>22</v>
      </c>
      <c r="G462" s="11">
        <v>46686</v>
      </c>
      <c r="H462" s="8">
        <v>41</v>
      </c>
      <c r="I462" s="8">
        <v>3</v>
      </c>
      <c r="J462" s="1" t="s">
        <v>30</v>
      </c>
    </row>
    <row r="463" spans="1:10" ht="13.8" x14ac:dyDescent="0.25">
      <c r="A463" t="s">
        <v>508</v>
      </c>
      <c r="B463" s="8">
        <v>65</v>
      </c>
      <c r="C463" s="9" t="s">
        <v>16</v>
      </c>
      <c r="D463" s="9" t="s">
        <v>62</v>
      </c>
      <c r="E463" s="1">
        <v>45345</v>
      </c>
      <c r="F463" s="9" t="s">
        <v>29</v>
      </c>
      <c r="G463" s="11">
        <v>26918</v>
      </c>
      <c r="H463" s="8">
        <v>81</v>
      </c>
      <c r="I463" s="8">
        <v>4</v>
      </c>
      <c r="J463" s="1" t="s">
        <v>14</v>
      </c>
    </row>
    <row r="464" spans="1:10" ht="13.8" x14ac:dyDescent="0.25">
      <c r="A464" t="s">
        <v>509</v>
      </c>
      <c r="B464" s="8">
        <v>83</v>
      </c>
      <c r="C464" s="9" t="s">
        <v>11</v>
      </c>
      <c r="D464" s="9" t="s">
        <v>17</v>
      </c>
      <c r="E464" s="1">
        <v>45081</v>
      </c>
      <c r="F464" s="9" t="s">
        <v>53</v>
      </c>
      <c r="G464" s="11">
        <v>27967</v>
      </c>
      <c r="H464" s="8">
        <v>76</v>
      </c>
      <c r="I464" s="8">
        <v>1</v>
      </c>
      <c r="J464" s="1" t="s">
        <v>38</v>
      </c>
    </row>
    <row r="465" spans="1:10" ht="13.8" x14ac:dyDescent="0.25">
      <c r="A465" t="s">
        <v>510</v>
      </c>
      <c r="B465" s="8">
        <v>82</v>
      </c>
      <c r="C465" s="9" t="s">
        <v>16</v>
      </c>
      <c r="D465" s="9" t="s">
        <v>25</v>
      </c>
      <c r="E465" s="1">
        <v>45249</v>
      </c>
      <c r="F465" s="9" t="s">
        <v>29</v>
      </c>
      <c r="G465" s="11">
        <v>34666</v>
      </c>
      <c r="H465" s="8">
        <v>68</v>
      </c>
      <c r="I465" s="8">
        <v>5</v>
      </c>
      <c r="J465" s="1" t="s">
        <v>40</v>
      </c>
    </row>
    <row r="466" spans="1:10" ht="13.8" x14ac:dyDescent="0.25">
      <c r="A466" t="s">
        <v>511</v>
      </c>
      <c r="B466" s="8">
        <v>4</v>
      </c>
      <c r="C466" s="9" t="s">
        <v>16</v>
      </c>
      <c r="D466" s="9" t="s">
        <v>62</v>
      </c>
      <c r="E466" s="1">
        <v>44954</v>
      </c>
      <c r="F466" s="9" t="s">
        <v>26</v>
      </c>
      <c r="G466" s="11">
        <v>18775</v>
      </c>
      <c r="H466" s="8">
        <v>56</v>
      </c>
      <c r="I466" s="8">
        <v>3</v>
      </c>
      <c r="J466" s="1" t="s">
        <v>95</v>
      </c>
    </row>
    <row r="467" spans="1:10" ht="13.8" x14ac:dyDescent="0.25">
      <c r="A467" t="s">
        <v>512</v>
      </c>
      <c r="B467" s="8">
        <v>48</v>
      </c>
      <c r="C467" s="9" t="s">
        <v>16</v>
      </c>
      <c r="D467" s="9" t="s">
        <v>17</v>
      </c>
      <c r="E467" s="1">
        <v>44950</v>
      </c>
      <c r="F467" s="9" t="s">
        <v>53</v>
      </c>
      <c r="G467" s="11">
        <v>29174</v>
      </c>
      <c r="H467" s="8">
        <v>94</v>
      </c>
      <c r="I467" s="8">
        <v>2</v>
      </c>
      <c r="J467" s="1" t="s">
        <v>95</v>
      </c>
    </row>
    <row r="468" spans="1:10" ht="13.8" x14ac:dyDescent="0.25">
      <c r="A468" t="s">
        <v>513</v>
      </c>
      <c r="B468" s="8">
        <v>42</v>
      </c>
      <c r="C468" s="9" t="s">
        <v>11</v>
      </c>
      <c r="D468" s="9" t="s">
        <v>62</v>
      </c>
      <c r="E468" s="1">
        <v>44930</v>
      </c>
      <c r="F468" s="9" t="s">
        <v>18</v>
      </c>
      <c r="G468" s="11">
        <v>39673</v>
      </c>
      <c r="H468" s="8">
        <v>73</v>
      </c>
      <c r="I468" s="8">
        <v>3</v>
      </c>
      <c r="J468" s="1" t="s">
        <v>95</v>
      </c>
    </row>
    <row r="469" spans="1:10" ht="13.8" x14ac:dyDescent="0.25">
      <c r="A469" t="s">
        <v>514</v>
      </c>
      <c r="B469" s="8">
        <v>44</v>
      </c>
      <c r="C469" s="9" t="s">
        <v>11</v>
      </c>
      <c r="D469" s="9" t="s">
        <v>17</v>
      </c>
      <c r="E469" s="1">
        <v>45525</v>
      </c>
      <c r="F469" s="9" t="s">
        <v>53</v>
      </c>
      <c r="G469" s="11">
        <v>10307</v>
      </c>
      <c r="H469" s="8">
        <v>74</v>
      </c>
      <c r="I469" s="8">
        <v>2</v>
      </c>
      <c r="J469" s="1" t="s">
        <v>33</v>
      </c>
    </row>
    <row r="470" spans="1:10" ht="13.8" x14ac:dyDescent="0.25">
      <c r="A470" t="s">
        <v>515</v>
      </c>
      <c r="B470" s="8">
        <v>9</v>
      </c>
      <c r="C470" s="9" t="s">
        <v>11</v>
      </c>
      <c r="D470" s="9" t="s">
        <v>17</v>
      </c>
      <c r="E470" s="1">
        <v>45187</v>
      </c>
      <c r="F470" s="9" t="s">
        <v>53</v>
      </c>
      <c r="G470" s="11">
        <v>12718</v>
      </c>
      <c r="H470" s="8">
        <v>59</v>
      </c>
      <c r="I470" s="8">
        <v>4</v>
      </c>
      <c r="J470" s="1" t="s">
        <v>109</v>
      </c>
    </row>
    <row r="471" spans="1:10" ht="13.8" x14ac:dyDescent="0.25">
      <c r="A471" t="s">
        <v>516</v>
      </c>
      <c r="B471" s="8">
        <v>23</v>
      </c>
      <c r="C471" s="9" t="s">
        <v>11</v>
      </c>
      <c r="D471" s="9" t="s">
        <v>21</v>
      </c>
      <c r="E471" s="1">
        <v>45190</v>
      </c>
      <c r="F471" s="9" t="s">
        <v>53</v>
      </c>
      <c r="G471" s="11">
        <v>39790</v>
      </c>
      <c r="H471" s="8">
        <v>81</v>
      </c>
      <c r="I471" s="8">
        <v>3</v>
      </c>
      <c r="J471" s="1" t="s">
        <v>109</v>
      </c>
    </row>
    <row r="472" spans="1:10" ht="13.8" x14ac:dyDescent="0.25">
      <c r="A472" t="s">
        <v>517</v>
      </c>
      <c r="B472" s="8">
        <v>29</v>
      </c>
      <c r="C472" s="9" t="s">
        <v>11</v>
      </c>
      <c r="D472" s="9" t="s">
        <v>12</v>
      </c>
      <c r="E472" s="1">
        <v>45595</v>
      </c>
      <c r="F472" s="9" t="s">
        <v>13</v>
      </c>
      <c r="G472" s="11">
        <v>22037</v>
      </c>
      <c r="H472" s="8">
        <v>51</v>
      </c>
      <c r="I472" s="8">
        <v>2</v>
      </c>
      <c r="J472" s="1" t="s">
        <v>92</v>
      </c>
    </row>
    <row r="473" spans="1:10" ht="13.8" x14ac:dyDescent="0.25">
      <c r="A473" t="s">
        <v>518</v>
      </c>
      <c r="B473" s="8">
        <v>21</v>
      </c>
      <c r="C473" s="9" t="s">
        <v>16</v>
      </c>
      <c r="D473" s="9" t="s">
        <v>17</v>
      </c>
      <c r="E473" s="1">
        <v>45190</v>
      </c>
      <c r="F473" s="9" t="s">
        <v>22</v>
      </c>
      <c r="G473" s="11">
        <v>39229</v>
      </c>
      <c r="H473" s="8">
        <v>55</v>
      </c>
      <c r="I473" s="8">
        <v>0</v>
      </c>
      <c r="J473" s="1" t="s">
        <v>109</v>
      </c>
    </row>
    <row r="474" spans="1:10" ht="13.8" x14ac:dyDescent="0.25">
      <c r="A474" t="s">
        <v>519</v>
      </c>
      <c r="B474" s="8">
        <v>63</v>
      </c>
      <c r="C474" s="9" t="s">
        <v>16</v>
      </c>
      <c r="D474" s="9" t="s">
        <v>52</v>
      </c>
      <c r="E474" s="1">
        <v>45360</v>
      </c>
      <c r="F474" s="9" t="s">
        <v>26</v>
      </c>
      <c r="G474" s="11">
        <v>17925</v>
      </c>
      <c r="H474" s="8">
        <v>72</v>
      </c>
      <c r="I474" s="8">
        <v>2</v>
      </c>
      <c r="J474" s="1" t="s">
        <v>48</v>
      </c>
    </row>
    <row r="475" spans="1:10" ht="13.8" x14ac:dyDescent="0.25">
      <c r="A475" t="s">
        <v>520</v>
      </c>
      <c r="B475" s="8">
        <v>4</v>
      </c>
      <c r="C475" s="9" t="s">
        <v>11</v>
      </c>
      <c r="D475" s="9" t="s">
        <v>17</v>
      </c>
      <c r="E475" s="1">
        <v>44947</v>
      </c>
      <c r="F475" s="9" t="s">
        <v>18</v>
      </c>
      <c r="G475" s="11">
        <v>42988</v>
      </c>
      <c r="H475" s="8">
        <v>87</v>
      </c>
      <c r="I475" s="8">
        <v>3</v>
      </c>
      <c r="J475" s="1" t="s">
        <v>95</v>
      </c>
    </row>
    <row r="476" spans="1:10" ht="13.8" x14ac:dyDescent="0.25">
      <c r="A476" t="s">
        <v>521</v>
      </c>
      <c r="B476" s="8">
        <v>53</v>
      </c>
      <c r="C476" s="9" t="s">
        <v>11</v>
      </c>
      <c r="D476" s="9" t="s">
        <v>21</v>
      </c>
      <c r="E476" s="1">
        <v>45471</v>
      </c>
      <c r="F476" s="9" t="s">
        <v>18</v>
      </c>
      <c r="G476" s="11">
        <v>8566</v>
      </c>
      <c r="H476" s="8">
        <v>55</v>
      </c>
      <c r="I476" s="8">
        <v>1</v>
      </c>
      <c r="J476" s="1" t="s">
        <v>42</v>
      </c>
    </row>
    <row r="477" spans="1:10" ht="13.8" x14ac:dyDescent="0.25">
      <c r="A477" t="s">
        <v>522</v>
      </c>
      <c r="B477" s="8">
        <v>86</v>
      </c>
      <c r="C477" s="9" t="s">
        <v>16</v>
      </c>
      <c r="D477" s="9" t="s">
        <v>21</v>
      </c>
      <c r="E477" s="1">
        <v>45350</v>
      </c>
      <c r="F477" s="9" t="s">
        <v>13</v>
      </c>
      <c r="G477" s="11">
        <v>13935</v>
      </c>
      <c r="H477" s="8">
        <v>64</v>
      </c>
      <c r="I477" s="8">
        <v>2</v>
      </c>
      <c r="J477" s="1" t="s">
        <v>14</v>
      </c>
    </row>
    <row r="478" spans="1:10" ht="13.8" x14ac:dyDescent="0.25">
      <c r="A478" t="s">
        <v>523</v>
      </c>
      <c r="B478" s="8">
        <v>31</v>
      </c>
      <c r="C478" s="9" t="s">
        <v>11</v>
      </c>
      <c r="D478" s="9" t="s">
        <v>62</v>
      </c>
      <c r="E478" s="1">
        <v>44956</v>
      </c>
      <c r="F478" s="9" t="s">
        <v>53</v>
      </c>
      <c r="G478" s="11">
        <v>43318</v>
      </c>
      <c r="H478" s="8">
        <v>86</v>
      </c>
      <c r="I478" s="8">
        <v>2</v>
      </c>
      <c r="J478" s="1" t="s">
        <v>95</v>
      </c>
    </row>
    <row r="479" spans="1:10" ht="13.8" x14ac:dyDescent="0.25">
      <c r="A479" t="s">
        <v>524</v>
      </c>
      <c r="B479" s="8">
        <v>13</v>
      </c>
      <c r="C479" s="9" t="s">
        <v>16</v>
      </c>
      <c r="D479" s="9" t="s">
        <v>17</v>
      </c>
      <c r="E479" s="1">
        <v>45252</v>
      </c>
      <c r="F479" s="9" t="s">
        <v>18</v>
      </c>
      <c r="G479" s="11">
        <v>22365</v>
      </c>
      <c r="H479" s="8">
        <v>91</v>
      </c>
      <c r="I479" s="8">
        <v>4</v>
      </c>
      <c r="J479" s="1" t="s">
        <v>40</v>
      </c>
    </row>
    <row r="480" spans="1:10" ht="13.8" x14ac:dyDescent="0.25">
      <c r="A480" t="s">
        <v>525</v>
      </c>
      <c r="B480" s="8">
        <v>9</v>
      </c>
      <c r="C480" s="9" t="s">
        <v>11</v>
      </c>
      <c r="D480" s="9" t="s">
        <v>21</v>
      </c>
      <c r="E480" s="1">
        <v>45089</v>
      </c>
      <c r="F480" s="9" t="s">
        <v>13</v>
      </c>
      <c r="G480" s="11">
        <v>33040</v>
      </c>
      <c r="H480" s="8">
        <v>92</v>
      </c>
      <c r="I480" s="8">
        <v>3</v>
      </c>
      <c r="J480" s="1" t="s">
        <v>38</v>
      </c>
    </row>
    <row r="481" spans="1:10" ht="13.8" x14ac:dyDescent="0.25">
      <c r="A481" t="s">
        <v>526</v>
      </c>
      <c r="B481" s="8">
        <v>45</v>
      </c>
      <c r="C481" s="9" t="s">
        <v>11</v>
      </c>
      <c r="D481" s="9" t="s">
        <v>17</v>
      </c>
      <c r="E481" s="1">
        <v>45005</v>
      </c>
      <c r="F481" s="9" t="s">
        <v>26</v>
      </c>
      <c r="G481" s="11">
        <v>34786</v>
      </c>
      <c r="H481" s="8">
        <v>81</v>
      </c>
      <c r="I481" s="8">
        <v>0</v>
      </c>
      <c r="J481" s="1" t="s">
        <v>63</v>
      </c>
    </row>
    <row r="482" spans="1:10" ht="13.8" x14ac:dyDescent="0.25">
      <c r="A482" t="s">
        <v>527</v>
      </c>
      <c r="B482" s="8">
        <v>4</v>
      </c>
      <c r="C482" s="9" t="s">
        <v>11</v>
      </c>
      <c r="D482" s="9" t="s">
        <v>17</v>
      </c>
      <c r="E482" s="1">
        <v>45213</v>
      </c>
      <c r="F482" s="9" t="s">
        <v>29</v>
      </c>
      <c r="G482" s="11">
        <v>14497</v>
      </c>
      <c r="H482" s="8">
        <v>69</v>
      </c>
      <c r="I482" s="8">
        <v>5</v>
      </c>
      <c r="J482" s="1" t="s">
        <v>27</v>
      </c>
    </row>
    <row r="483" spans="1:10" ht="13.8" x14ac:dyDescent="0.25">
      <c r="A483" t="s">
        <v>528</v>
      </c>
      <c r="B483" s="8">
        <v>60</v>
      </c>
      <c r="C483" s="9" t="s">
        <v>16</v>
      </c>
      <c r="D483" s="9" t="s">
        <v>62</v>
      </c>
      <c r="E483" s="1">
        <v>45012</v>
      </c>
      <c r="F483" s="9" t="s">
        <v>26</v>
      </c>
      <c r="G483" s="11">
        <v>32698</v>
      </c>
      <c r="H483" s="8">
        <v>58</v>
      </c>
      <c r="I483" s="8">
        <v>0</v>
      </c>
      <c r="J483" s="1" t="s">
        <v>63</v>
      </c>
    </row>
    <row r="484" spans="1:10" ht="13.8" x14ac:dyDescent="0.25">
      <c r="A484" t="s">
        <v>529</v>
      </c>
      <c r="B484" s="8">
        <v>9</v>
      </c>
      <c r="C484" s="9" t="s">
        <v>11</v>
      </c>
      <c r="D484" s="9" t="s">
        <v>62</v>
      </c>
      <c r="E484" s="1">
        <v>45608</v>
      </c>
      <c r="F484" s="9" t="s">
        <v>22</v>
      </c>
      <c r="G484" s="11">
        <v>30644</v>
      </c>
      <c r="H484" s="8">
        <v>82</v>
      </c>
      <c r="I484" s="8">
        <v>1</v>
      </c>
      <c r="J484" s="1" t="s">
        <v>54</v>
      </c>
    </row>
    <row r="485" spans="1:10" ht="13.8" x14ac:dyDescent="0.25">
      <c r="A485" t="s">
        <v>530</v>
      </c>
      <c r="B485" s="8">
        <v>59</v>
      </c>
      <c r="C485" s="9" t="s">
        <v>11</v>
      </c>
      <c r="D485" s="9" t="s">
        <v>17</v>
      </c>
      <c r="E485" s="1">
        <v>45422</v>
      </c>
      <c r="F485" s="9" t="s">
        <v>26</v>
      </c>
      <c r="G485" s="11">
        <v>31639</v>
      </c>
      <c r="H485" s="8">
        <v>64</v>
      </c>
      <c r="I485" s="8">
        <v>4</v>
      </c>
      <c r="J485" s="1" t="s">
        <v>66</v>
      </c>
    </row>
    <row r="486" spans="1:10" ht="13.8" x14ac:dyDescent="0.25">
      <c r="A486" t="s">
        <v>531</v>
      </c>
      <c r="B486" s="8">
        <v>42</v>
      </c>
      <c r="C486" s="9" t="s">
        <v>11</v>
      </c>
      <c r="D486" s="9" t="s">
        <v>52</v>
      </c>
      <c r="E486" s="1">
        <v>45394</v>
      </c>
      <c r="F486" s="9" t="s">
        <v>26</v>
      </c>
      <c r="G486" s="11">
        <v>38098</v>
      </c>
      <c r="H486" s="8">
        <v>93</v>
      </c>
      <c r="I486" s="8">
        <v>3</v>
      </c>
      <c r="J486" s="1" t="s">
        <v>50</v>
      </c>
    </row>
    <row r="487" spans="1:10" ht="13.8" x14ac:dyDescent="0.25">
      <c r="A487" t="s">
        <v>532</v>
      </c>
      <c r="B487" s="8">
        <v>60</v>
      </c>
      <c r="C487" s="9" t="s">
        <v>11</v>
      </c>
      <c r="D487" s="9" t="s">
        <v>17</v>
      </c>
      <c r="E487" s="1">
        <v>45223</v>
      </c>
      <c r="F487" s="9" t="s">
        <v>22</v>
      </c>
      <c r="G487" s="11">
        <v>41905</v>
      </c>
      <c r="H487" s="8">
        <v>96</v>
      </c>
      <c r="I487" s="8">
        <v>1</v>
      </c>
      <c r="J487" s="1" t="s">
        <v>27</v>
      </c>
    </row>
    <row r="488" spans="1:10" ht="13.8" x14ac:dyDescent="0.25">
      <c r="A488" t="s">
        <v>533</v>
      </c>
      <c r="B488" s="8">
        <v>84</v>
      </c>
      <c r="C488" s="9" t="s">
        <v>11</v>
      </c>
      <c r="D488" s="9" t="s">
        <v>52</v>
      </c>
      <c r="E488" s="1">
        <v>45542</v>
      </c>
      <c r="F488" s="9" t="s">
        <v>22</v>
      </c>
      <c r="G488" s="11">
        <v>40793</v>
      </c>
      <c r="H488" s="8">
        <v>85</v>
      </c>
      <c r="I488" s="8">
        <v>2</v>
      </c>
      <c r="J488" s="1" t="s">
        <v>45</v>
      </c>
    </row>
    <row r="489" spans="1:10" ht="13.8" x14ac:dyDescent="0.25">
      <c r="A489" t="s">
        <v>534</v>
      </c>
      <c r="B489" s="8">
        <v>63</v>
      </c>
      <c r="C489" s="9" t="s">
        <v>16</v>
      </c>
      <c r="D489" s="9" t="s">
        <v>21</v>
      </c>
      <c r="E489" s="1">
        <v>45044</v>
      </c>
      <c r="F489" s="9" t="s">
        <v>29</v>
      </c>
      <c r="G489" s="11">
        <v>48125</v>
      </c>
      <c r="H489" s="8">
        <v>53</v>
      </c>
      <c r="I489" s="8">
        <v>3</v>
      </c>
      <c r="J489" s="1" t="s">
        <v>80</v>
      </c>
    </row>
    <row r="490" spans="1:10" ht="13.8" x14ac:dyDescent="0.25">
      <c r="A490" t="s">
        <v>535</v>
      </c>
      <c r="B490" s="8">
        <v>17</v>
      </c>
      <c r="C490" s="9" t="s">
        <v>16</v>
      </c>
      <c r="D490" s="9" t="s">
        <v>62</v>
      </c>
      <c r="E490" s="1">
        <v>45552</v>
      </c>
      <c r="F490" s="9" t="s">
        <v>29</v>
      </c>
      <c r="G490" s="11">
        <v>8182</v>
      </c>
      <c r="H490" s="8">
        <v>66</v>
      </c>
      <c r="I490" s="8">
        <v>1</v>
      </c>
      <c r="J490" s="1" t="s">
        <v>45</v>
      </c>
    </row>
    <row r="491" spans="1:10" ht="13.8" x14ac:dyDescent="0.25">
      <c r="A491" t="s">
        <v>536</v>
      </c>
      <c r="B491" s="8">
        <v>8</v>
      </c>
      <c r="C491" s="9" t="s">
        <v>16</v>
      </c>
      <c r="D491" s="9" t="s">
        <v>21</v>
      </c>
      <c r="E491" s="1">
        <v>45627</v>
      </c>
      <c r="F491" s="9" t="s">
        <v>26</v>
      </c>
      <c r="G491" s="11">
        <v>22514</v>
      </c>
      <c r="H491" s="8">
        <v>95</v>
      </c>
      <c r="I491" s="8">
        <v>1</v>
      </c>
      <c r="J491" s="1" t="s">
        <v>537</v>
      </c>
    </row>
    <row r="492" spans="1:10" ht="13.8" x14ac:dyDescent="0.25">
      <c r="A492" t="s">
        <v>538</v>
      </c>
      <c r="B492" s="8">
        <v>45</v>
      </c>
      <c r="C492" s="9" t="s">
        <v>16</v>
      </c>
      <c r="D492" s="9" t="s">
        <v>62</v>
      </c>
      <c r="E492" s="1">
        <v>45486</v>
      </c>
      <c r="F492" s="9" t="s">
        <v>53</v>
      </c>
      <c r="G492" s="11">
        <v>18546</v>
      </c>
      <c r="H492" s="8">
        <v>48</v>
      </c>
      <c r="I492" s="8">
        <v>1</v>
      </c>
      <c r="J492" s="1" t="s">
        <v>19</v>
      </c>
    </row>
    <row r="493" spans="1:10" ht="13.8" x14ac:dyDescent="0.25">
      <c r="A493" t="s">
        <v>539</v>
      </c>
      <c r="B493" s="8">
        <v>44</v>
      </c>
      <c r="C493" s="9" t="s">
        <v>11</v>
      </c>
      <c r="D493" s="9" t="s">
        <v>12</v>
      </c>
      <c r="E493" s="1">
        <v>45342</v>
      </c>
      <c r="F493" s="9" t="s">
        <v>13</v>
      </c>
      <c r="G493" s="11">
        <v>10064</v>
      </c>
      <c r="H493" s="8">
        <v>75</v>
      </c>
      <c r="I493" s="8">
        <v>5</v>
      </c>
      <c r="J493" s="1" t="s">
        <v>14</v>
      </c>
    </row>
    <row r="494" spans="1:10" ht="13.8" x14ac:dyDescent="0.25">
      <c r="A494" t="s">
        <v>540</v>
      </c>
      <c r="B494" s="8">
        <v>9</v>
      </c>
      <c r="C494" s="9" t="s">
        <v>11</v>
      </c>
      <c r="D494" s="9" t="s">
        <v>21</v>
      </c>
      <c r="E494" s="1">
        <v>45055</v>
      </c>
      <c r="F494" s="9" t="s">
        <v>29</v>
      </c>
      <c r="G494" s="11">
        <v>39197</v>
      </c>
      <c r="H494" s="8">
        <v>60</v>
      </c>
      <c r="I494" s="8">
        <v>4</v>
      </c>
      <c r="J494" s="1" t="s">
        <v>35</v>
      </c>
    </row>
    <row r="495" spans="1:10" ht="13.8" x14ac:dyDescent="0.25">
      <c r="A495" t="s">
        <v>541</v>
      </c>
      <c r="B495" s="8">
        <v>78</v>
      </c>
      <c r="C495" s="9" t="s">
        <v>16</v>
      </c>
      <c r="D495" s="9" t="s">
        <v>62</v>
      </c>
      <c r="E495" s="1">
        <v>45424</v>
      </c>
      <c r="F495" s="9" t="s">
        <v>13</v>
      </c>
      <c r="G495" s="11">
        <v>42554</v>
      </c>
      <c r="H495" s="8">
        <v>85</v>
      </c>
      <c r="I495" s="8">
        <v>5</v>
      </c>
      <c r="J495" s="1" t="s">
        <v>66</v>
      </c>
    </row>
    <row r="496" spans="1:10" ht="13.8" x14ac:dyDescent="0.25">
      <c r="A496" t="s">
        <v>542</v>
      </c>
      <c r="B496" s="8">
        <v>75</v>
      </c>
      <c r="C496" s="9" t="s">
        <v>11</v>
      </c>
      <c r="D496" s="9" t="s">
        <v>12</v>
      </c>
      <c r="E496" s="1">
        <v>44998</v>
      </c>
      <c r="F496" s="9" t="s">
        <v>22</v>
      </c>
      <c r="G496" s="11">
        <v>26005</v>
      </c>
      <c r="H496" s="8">
        <v>99</v>
      </c>
      <c r="I496" s="8">
        <v>0</v>
      </c>
      <c r="J496" s="1" t="s">
        <v>63</v>
      </c>
    </row>
    <row r="497" spans="1:10" ht="13.8" x14ac:dyDescent="0.25">
      <c r="A497" t="s">
        <v>543</v>
      </c>
      <c r="B497" s="8">
        <v>32</v>
      </c>
      <c r="C497" s="9" t="s">
        <v>11</v>
      </c>
      <c r="D497" s="9" t="s">
        <v>62</v>
      </c>
      <c r="E497" s="1">
        <v>45307</v>
      </c>
      <c r="F497" s="9" t="s">
        <v>26</v>
      </c>
      <c r="G497" s="11">
        <v>5534</v>
      </c>
      <c r="H497" s="8">
        <v>44</v>
      </c>
      <c r="I497" s="8">
        <v>2</v>
      </c>
      <c r="J497" s="1" t="s">
        <v>23</v>
      </c>
    </row>
    <row r="498" spans="1:10" ht="13.8" x14ac:dyDescent="0.25">
      <c r="A498" t="s">
        <v>544</v>
      </c>
      <c r="B498" s="8">
        <v>35</v>
      </c>
      <c r="C498" s="9" t="s">
        <v>16</v>
      </c>
      <c r="D498" s="9" t="s">
        <v>52</v>
      </c>
      <c r="E498" s="1">
        <v>45451</v>
      </c>
      <c r="F498" s="9" t="s">
        <v>22</v>
      </c>
      <c r="G498" s="11">
        <v>20887</v>
      </c>
      <c r="H498" s="8">
        <v>49</v>
      </c>
      <c r="I498" s="8">
        <v>2</v>
      </c>
      <c r="J498" s="1" t="s">
        <v>42</v>
      </c>
    </row>
    <row r="499" spans="1:10" ht="13.8" x14ac:dyDescent="0.25">
      <c r="A499" t="s">
        <v>545</v>
      </c>
      <c r="B499" s="8">
        <v>25</v>
      </c>
      <c r="C499" s="9" t="s">
        <v>11</v>
      </c>
      <c r="D499" s="9" t="s">
        <v>17</v>
      </c>
      <c r="E499" s="1">
        <v>45075</v>
      </c>
      <c r="F499" s="9" t="s">
        <v>22</v>
      </c>
      <c r="G499" s="11">
        <v>7750</v>
      </c>
      <c r="H499" s="8">
        <v>73</v>
      </c>
      <c r="I499" s="8">
        <v>3</v>
      </c>
      <c r="J499" s="1" t="s">
        <v>35</v>
      </c>
    </row>
    <row r="500" spans="1:10" ht="13.8" x14ac:dyDescent="0.25">
      <c r="A500" t="s">
        <v>546</v>
      </c>
      <c r="B500" s="8">
        <v>88</v>
      </c>
      <c r="C500" s="9" t="s">
        <v>11</v>
      </c>
      <c r="D500" s="9" t="s">
        <v>21</v>
      </c>
      <c r="E500" s="1">
        <v>44960</v>
      </c>
      <c r="F500" s="9" t="s">
        <v>18</v>
      </c>
      <c r="G500" s="11">
        <v>45912</v>
      </c>
      <c r="H500" s="8">
        <v>90</v>
      </c>
      <c r="I500" s="8">
        <v>4</v>
      </c>
      <c r="J500" s="1" t="s">
        <v>126</v>
      </c>
    </row>
    <row r="501" spans="1:10" ht="13.8" x14ac:dyDescent="0.25">
      <c r="A501" t="s">
        <v>547</v>
      </c>
      <c r="B501" s="8">
        <v>11</v>
      </c>
      <c r="C501" s="9" t="s">
        <v>16</v>
      </c>
      <c r="D501" s="9" t="s">
        <v>17</v>
      </c>
      <c r="E501" s="1">
        <v>45189</v>
      </c>
      <c r="F501" s="9" t="s">
        <v>26</v>
      </c>
      <c r="G501" s="11">
        <v>20830</v>
      </c>
      <c r="H501" s="8">
        <v>52</v>
      </c>
      <c r="I501" s="8">
        <v>0</v>
      </c>
      <c r="J501" s="1" t="s">
        <v>109</v>
      </c>
    </row>
    <row r="502" spans="1:10" ht="13.8" x14ac:dyDescent="0.25">
      <c r="A502" t="s">
        <v>548</v>
      </c>
      <c r="B502" s="8">
        <v>23</v>
      </c>
      <c r="C502" s="9" t="s">
        <v>11</v>
      </c>
      <c r="D502" s="9" t="s">
        <v>12</v>
      </c>
      <c r="E502" s="1">
        <v>45145</v>
      </c>
      <c r="F502" s="9" t="s">
        <v>13</v>
      </c>
      <c r="G502" s="11">
        <v>48562</v>
      </c>
      <c r="H502" s="8">
        <v>77</v>
      </c>
      <c r="I502" s="8">
        <v>1</v>
      </c>
      <c r="J502" s="1" t="s">
        <v>30</v>
      </c>
    </row>
    <row r="503" spans="1:10" ht="13.8" x14ac:dyDescent="0.25">
      <c r="A503" t="s">
        <v>549</v>
      </c>
      <c r="B503" s="8">
        <v>50</v>
      </c>
      <c r="C503" s="9" t="s">
        <v>11</v>
      </c>
      <c r="D503" s="9" t="s">
        <v>12</v>
      </c>
      <c r="E503" s="1">
        <v>45348</v>
      </c>
      <c r="F503" s="9" t="s">
        <v>29</v>
      </c>
      <c r="G503" s="11">
        <v>17665</v>
      </c>
      <c r="H503" s="8">
        <v>78</v>
      </c>
      <c r="I503" s="8">
        <v>0</v>
      </c>
      <c r="J503" s="1" t="s">
        <v>14</v>
      </c>
    </row>
    <row r="504" spans="1:10" ht="13.8" x14ac:dyDescent="0.25">
      <c r="A504" t="s">
        <v>550</v>
      </c>
      <c r="B504" s="8">
        <v>55</v>
      </c>
      <c r="C504" s="9" t="s">
        <v>11</v>
      </c>
      <c r="D504" s="9" t="s">
        <v>52</v>
      </c>
      <c r="E504" s="1">
        <v>45393</v>
      </c>
      <c r="F504" s="9" t="s">
        <v>29</v>
      </c>
      <c r="G504" s="11">
        <v>5137</v>
      </c>
      <c r="H504" s="8">
        <v>53</v>
      </c>
      <c r="I504" s="8">
        <v>4</v>
      </c>
      <c r="J504" s="1" t="s">
        <v>50</v>
      </c>
    </row>
    <row r="505" spans="1:10" ht="13.8" x14ac:dyDescent="0.25">
      <c r="A505" t="s">
        <v>551</v>
      </c>
      <c r="B505" s="8">
        <v>68</v>
      </c>
      <c r="C505" s="9" t="s">
        <v>11</v>
      </c>
      <c r="D505" s="9" t="s">
        <v>62</v>
      </c>
      <c r="E505" s="1">
        <v>45050</v>
      </c>
      <c r="F505" s="9" t="s">
        <v>53</v>
      </c>
      <c r="G505" s="11">
        <v>20095</v>
      </c>
      <c r="H505" s="8">
        <v>91</v>
      </c>
      <c r="I505" s="8">
        <v>2</v>
      </c>
      <c r="J505" s="1" t="s">
        <v>35</v>
      </c>
    </row>
    <row r="506" spans="1:10" ht="13.8" x14ac:dyDescent="0.25">
      <c r="A506" t="s">
        <v>552</v>
      </c>
      <c r="B506" s="8">
        <v>4</v>
      </c>
      <c r="C506" s="9" t="s">
        <v>11</v>
      </c>
      <c r="D506" s="9" t="s">
        <v>52</v>
      </c>
      <c r="E506" s="1">
        <v>45260</v>
      </c>
      <c r="F506" s="9" t="s">
        <v>18</v>
      </c>
      <c r="G506" s="11">
        <v>18994</v>
      </c>
      <c r="H506" s="8">
        <v>49</v>
      </c>
      <c r="I506" s="8">
        <v>1</v>
      </c>
      <c r="J506" s="1" t="s">
        <v>40</v>
      </c>
    </row>
    <row r="507" spans="1:10" ht="13.8" x14ac:dyDescent="0.25">
      <c r="A507" t="s">
        <v>553</v>
      </c>
      <c r="B507" s="8">
        <v>85</v>
      </c>
      <c r="C507" s="9" t="s">
        <v>16</v>
      </c>
      <c r="D507" s="9" t="s">
        <v>12</v>
      </c>
      <c r="E507" s="1">
        <v>45470</v>
      </c>
      <c r="F507" s="9" t="s">
        <v>53</v>
      </c>
      <c r="G507" s="11">
        <v>43825</v>
      </c>
      <c r="H507" s="8">
        <v>51</v>
      </c>
      <c r="I507" s="8">
        <v>2</v>
      </c>
      <c r="J507" s="1" t="s">
        <v>42</v>
      </c>
    </row>
    <row r="508" spans="1:10" ht="13.8" x14ac:dyDescent="0.25">
      <c r="A508" t="s">
        <v>554</v>
      </c>
      <c r="B508" s="8">
        <v>88</v>
      </c>
      <c r="C508" s="9" t="s">
        <v>16</v>
      </c>
      <c r="D508" s="9" t="s">
        <v>52</v>
      </c>
      <c r="E508" s="1">
        <v>45341</v>
      </c>
      <c r="F508" s="9" t="s">
        <v>29</v>
      </c>
      <c r="G508" s="11">
        <v>31897</v>
      </c>
      <c r="H508" s="8">
        <v>71</v>
      </c>
      <c r="I508" s="8">
        <v>1</v>
      </c>
      <c r="J508" s="1" t="s">
        <v>14</v>
      </c>
    </row>
    <row r="509" spans="1:10" ht="13.8" x14ac:dyDescent="0.25">
      <c r="A509" t="s">
        <v>555</v>
      </c>
      <c r="B509" s="8">
        <v>56</v>
      </c>
      <c r="C509" s="9" t="s">
        <v>11</v>
      </c>
      <c r="D509" s="9" t="s">
        <v>12</v>
      </c>
      <c r="E509" s="1">
        <v>45189</v>
      </c>
      <c r="F509" s="9" t="s">
        <v>22</v>
      </c>
      <c r="G509" s="11">
        <v>11050</v>
      </c>
      <c r="H509" s="8">
        <v>75</v>
      </c>
      <c r="I509" s="8">
        <v>2</v>
      </c>
      <c r="J509" s="1" t="s">
        <v>109</v>
      </c>
    </row>
    <row r="510" spans="1:10" ht="13.8" x14ac:dyDescent="0.25">
      <c r="A510" t="s">
        <v>556</v>
      </c>
      <c r="B510" s="8">
        <v>80</v>
      </c>
      <c r="C510" s="9" t="s">
        <v>16</v>
      </c>
      <c r="D510" s="9" t="s">
        <v>17</v>
      </c>
      <c r="E510" s="1">
        <v>45582</v>
      </c>
      <c r="F510" s="9" t="s">
        <v>29</v>
      </c>
      <c r="G510" s="11">
        <v>24899</v>
      </c>
      <c r="H510" s="8">
        <v>50</v>
      </c>
      <c r="I510" s="8">
        <v>4</v>
      </c>
      <c r="J510" s="1" t="s">
        <v>92</v>
      </c>
    </row>
    <row r="511" spans="1:10" ht="13.8" x14ac:dyDescent="0.25">
      <c r="A511" t="s">
        <v>557</v>
      </c>
      <c r="B511" s="8">
        <v>25</v>
      </c>
      <c r="C511" s="9" t="s">
        <v>11</v>
      </c>
      <c r="D511" s="9" t="s">
        <v>25</v>
      </c>
      <c r="E511" s="1">
        <v>45234</v>
      </c>
      <c r="F511" s="9" t="s">
        <v>29</v>
      </c>
      <c r="G511" s="11">
        <v>29363</v>
      </c>
      <c r="H511" s="8">
        <v>84</v>
      </c>
      <c r="I511" s="8">
        <v>1</v>
      </c>
      <c r="J511" s="1" t="s">
        <v>40</v>
      </c>
    </row>
    <row r="512" spans="1:10" ht="13.8" x14ac:dyDescent="0.25">
      <c r="A512" t="s">
        <v>558</v>
      </c>
      <c r="B512" s="8">
        <v>56</v>
      </c>
      <c r="C512" s="9" t="s">
        <v>16</v>
      </c>
      <c r="D512" s="9" t="s">
        <v>12</v>
      </c>
      <c r="E512" s="1">
        <v>45238</v>
      </c>
      <c r="F512" s="9" t="s">
        <v>53</v>
      </c>
      <c r="G512" s="11">
        <v>31376</v>
      </c>
      <c r="H512" s="8">
        <v>41</v>
      </c>
      <c r="I512" s="8">
        <v>5</v>
      </c>
      <c r="J512" s="1" t="s">
        <v>40</v>
      </c>
    </row>
    <row r="513" spans="1:10" ht="13.8" x14ac:dyDescent="0.25">
      <c r="A513" t="s">
        <v>559</v>
      </c>
      <c r="B513" s="8">
        <v>81</v>
      </c>
      <c r="C513" s="9" t="s">
        <v>16</v>
      </c>
      <c r="D513" s="9" t="s">
        <v>12</v>
      </c>
      <c r="E513" s="1">
        <v>45232</v>
      </c>
      <c r="F513" s="9" t="s">
        <v>53</v>
      </c>
      <c r="G513" s="11">
        <v>42876</v>
      </c>
      <c r="H513" s="8">
        <v>45</v>
      </c>
      <c r="I513" s="8">
        <v>0</v>
      </c>
      <c r="J513" s="1" t="s">
        <v>40</v>
      </c>
    </row>
    <row r="514" spans="1:10" ht="13.8" x14ac:dyDescent="0.25">
      <c r="A514" t="s">
        <v>560</v>
      </c>
      <c r="B514" s="8">
        <v>11</v>
      </c>
      <c r="C514" s="9" t="s">
        <v>16</v>
      </c>
      <c r="D514" s="9" t="s">
        <v>21</v>
      </c>
      <c r="E514" s="1">
        <v>45130</v>
      </c>
      <c r="F514" s="9" t="s">
        <v>13</v>
      </c>
      <c r="G514" s="11">
        <v>2391</v>
      </c>
      <c r="H514" s="8">
        <v>69</v>
      </c>
      <c r="I514" s="8">
        <v>1</v>
      </c>
      <c r="J514" s="1" t="s">
        <v>78</v>
      </c>
    </row>
    <row r="515" spans="1:10" ht="13.8" x14ac:dyDescent="0.25">
      <c r="A515" t="s">
        <v>561</v>
      </c>
      <c r="B515" s="8">
        <v>24</v>
      </c>
      <c r="C515" s="9" t="s">
        <v>11</v>
      </c>
      <c r="D515" s="9" t="s">
        <v>12</v>
      </c>
      <c r="E515" s="1">
        <v>45280</v>
      </c>
      <c r="F515" s="9" t="s">
        <v>22</v>
      </c>
      <c r="G515" s="11">
        <v>19751</v>
      </c>
      <c r="H515" s="8">
        <v>69</v>
      </c>
      <c r="I515" s="8">
        <v>0</v>
      </c>
      <c r="J515" s="1" t="s">
        <v>57</v>
      </c>
    </row>
    <row r="516" spans="1:10" ht="13.8" x14ac:dyDescent="0.25">
      <c r="A516" t="s">
        <v>562</v>
      </c>
      <c r="B516" s="8">
        <v>30</v>
      </c>
      <c r="C516" s="9" t="s">
        <v>11</v>
      </c>
      <c r="D516" s="9" t="s">
        <v>12</v>
      </c>
      <c r="E516" s="1">
        <v>45461</v>
      </c>
      <c r="F516" s="9" t="s">
        <v>53</v>
      </c>
      <c r="G516" s="11">
        <v>20344</v>
      </c>
      <c r="H516" s="8">
        <v>68</v>
      </c>
      <c r="I516" s="8">
        <v>3</v>
      </c>
      <c r="J516" s="1" t="s">
        <v>42</v>
      </c>
    </row>
    <row r="517" spans="1:10" ht="13.8" x14ac:dyDescent="0.25">
      <c r="A517" t="s">
        <v>563</v>
      </c>
      <c r="B517" s="8">
        <v>85</v>
      </c>
      <c r="C517" s="9" t="s">
        <v>11</v>
      </c>
      <c r="D517" s="9" t="s">
        <v>52</v>
      </c>
      <c r="E517" s="1">
        <v>45543</v>
      </c>
      <c r="F517" s="9" t="s">
        <v>13</v>
      </c>
      <c r="G517" s="11">
        <v>22912</v>
      </c>
      <c r="H517" s="8">
        <v>100</v>
      </c>
      <c r="I517" s="8">
        <v>1</v>
      </c>
      <c r="J517" s="1" t="s">
        <v>45</v>
      </c>
    </row>
    <row r="518" spans="1:10" ht="13.8" x14ac:dyDescent="0.25">
      <c r="A518" t="s">
        <v>564</v>
      </c>
      <c r="B518" s="8">
        <v>67</v>
      </c>
      <c r="C518" s="9" t="s">
        <v>16</v>
      </c>
      <c r="D518" s="9" t="s">
        <v>25</v>
      </c>
      <c r="E518" s="1">
        <v>45289</v>
      </c>
      <c r="F518" s="9" t="s">
        <v>13</v>
      </c>
      <c r="G518" s="11">
        <v>35477</v>
      </c>
      <c r="H518" s="8">
        <v>58</v>
      </c>
      <c r="I518" s="8">
        <v>3</v>
      </c>
      <c r="J518" s="1" t="s">
        <v>57</v>
      </c>
    </row>
    <row r="519" spans="1:10" ht="13.8" x14ac:dyDescent="0.25">
      <c r="A519" t="s">
        <v>565</v>
      </c>
      <c r="B519" s="8">
        <v>90</v>
      </c>
      <c r="C519" s="9" t="s">
        <v>16</v>
      </c>
      <c r="D519" s="9" t="s">
        <v>21</v>
      </c>
      <c r="E519" s="1">
        <v>45410</v>
      </c>
      <c r="F519" s="9" t="s">
        <v>26</v>
      </c>
      <c r="G519" s="11">
        <v>23343</v>
      </c>
      <c r="H519" s="8">
        <v>45</v>
      </c>
      <c r="I519" s="8">
        <v>2</v>
      </c>
      <c r="J519" s="1" t="s">
        <v>50</v>
      </c>
    </row>
    <row r="520" spans="1:10" ht="13.8" x14ac:dyDescent="0.25">
      <c r="A520" t="s">
        <v>566</v>
      </c>
      <c r="B520" s="8">
        <v>43</v>
      </c>
      <c r="C520" s="9" t="s">
        <v>16</v>
      </c>
      <c r="D520" s="9" t="s">
        <v>12</v>
      </c>
      <c r="E520" s="1">
        <v>45103</v>
      </c>
      <c r="F520" s="9" t="s">
        <v>18</v>
      </c>
      <c r="G520" s="11">
        <v>40401</v>
      </c>
      <c r="H520" s="8">
        <v>53</v>
      </c>
      <c r="I520" s="8">
        <v>4</v>
      </c>
      <c r="J520" s="1" t="s">
        <v>38</v>
      </c>
    </row>
    <row r="521" spans="1:10" ht="13.8" x14ac:dyDescent="0.25">
      <c r="A521" t="s">
        <v>567</v>
      </c>
      <c r="B521" s="8">
        <v>32</v>
      </c>
      <c r="C521" s="9" t="s">
        <v>16</v>
      </c>
      <c r="D521" s="9" t="s">
        <v>12</v>
      </c>
      <c r="E521" s="1">
        <v>45266</v>
      </c>
      <c r="F521" s="9" t="s">
        <v>22</v>
      </c>
      <c r="G521" s="11">
        <v>15440</v>
      </c>
      <c r="H521" s="8">
        <v>52</v>
      </c>
      <c r="I521" s="8">
        <v>2</v>
      </c>
      <c r="J521" s="1" t="s">
        <v>57</v>
      </c>
    </row>
    <row r="522" spans="1:10" ht="13.8" x14ac:dyDescent="0.25">
      <c r="A522" t="s">
        <v>568</v>
      </c>
      <c r="B522" s="8">
        <v>12</v>
      </c>
      <c r="C522" s="9" t="s">
        <v>16</v>
      </c>
      <c r="D522" s="9" t="s">
        <v>52</v>
      </c>
      <c r="E522" s="1">
        <v>45419</v>
      </c>
      <c r="F522" s="9" t="s">
        <v>13</v>
      </c>
      <c r="G522" s="11">
        <v>14377</v>
      </c>
      <c r="H522" s="8">
        <v>85</v>
      </c>
      <c r="I522" s="8">
        <v>4</v>
      </c>
      <c r="J522" s="1" t="s">
        <v>66</v>
      </c>
    </row>
    <row r="523" spans="1:10" ht="13.8" x14ac:dyDescent="0.25">
      <c r="A523" t="s">
        <v>569</v>
      </c>
      <c r="B523" s="8">
        <v>90</v>
      </c>
      <c r="C523" s="9" t="s">
        <v>16</v>
      </c>
      <c r="D523" s="9" t="s">
        <v>21</v>
      </c>
      <c r="E523" s="1">
        <v>45042</v>
      </c>
      <c r="F523" s="9" t="s">
        <v>22</v>
      </c>
      <c r="G523" s="11">
        <v>17441</v>
      </c>
      <c r="H523" s="8">
        <v>52</v>
      </c>
      <c r="I523" s="8">
        <v>0</v>
      </c>
      <c r="J523" s="1" t="s">
        <v>80</v>
      </c>
    </row>
    <row r="524" spans="1:10" ht="13.8" x14ac:dyDescent="0.25">
      <c r="A524" t="s">
        <v>570</v>
      </c>
      <c r="B524" s="8">
        <v>84</v>
      </c>
      <c r="C524" s="9" t="s">
        <v>16</v>
      </c>
      <c r="D524" s="9" t="s">
        <v>12</v>
      </c>
      <c r="E524" s="1">
        <v>45001</v>
      </c>
      <c r="F524" s="9" t="s">
        <v>18</v>
      </c>
      <c r="G524" s="11">
        <v>20354</v>
      </c>
      <c r="H524" s="8">
        <v>69</v>
      </c>
      <c r="I524" s="8">
        <v>5</v>
      </c>
      <c r="J524" s="1" t="s">
        <v>63</v>
      </c>
    </row>
    <row r="525" spans="1:10" ht="13.8" x14ac:dyDescent="0.25">
      <c r="A525" t="s">
        <v>571</v>
      </c>
      <c r="B525" s="8">
        <v>70</v>
      </c>
      <c r="C525" s="9" t="s">
        <v>11</v>
      </c>
      <c r="D525" s="9" t="s">
        <v>21</v>
      </c>
      <c r="E525" s="1">
        <v>45127</v>
      </c>
      <c r="F525" s="9" t="s">
        <v>18</v>
      </c>
      <c r="G525" s="11">
        <v>34116</v>
      </c>
      <c r="H525" s="8">
        <v>97</v>
      </c>
      <c r="I525" s="8">
        <v>2</v>
      </c>
      <c r="J525" s="1" t="s">
        <v>78</v>
      </c>
    </row>
    <row r="526" spans="1:10" ht="13.8" x14ac:dyDescent="0.25">
      <c r="A526" t="s">
        <v>572</v>
      </c>
      <c r="B526" s="8">
        <v>46</v>
      </c>
      <c r="C526" s="9" t="s">
        <v>11</v>
      </c>
      <c r="D526" s="9" t="s">
        <v>21</v>
      </c>
      <c r="E526" s="1">
        <v>45148</v>
      </c>
      <c r="F526" s="9" t="s">
        <v>13</v>
      </c>
      <c r="G526" s="11">
        <v>41887</v>
      </c>
      <c r="H526" s="8">
        <v>41</v>
      </c>
      <c r="I526" s="8">
        <v>1</v>
      </c>
      <c r="J526" s="1" t="s">
        <v>30</v>
      </c>
    </row>
    <row r="527" spans="1:10" ht="13.8" x14ac:dyDescent="0.25">
      <c r="A527" t="s">
        <v>573</v>
      </c>
      <c r="B527" s="8">
        <v>1</v>
      </c>
      <c r="C527" s="9" t="s">
        <v>16</v>
      </c>
      <c r="D527" s="9" t="s">
        <v>25</v>
      </c>
      <c r="E527" s="1">
        <v>45488</v>
      </c>
      <c r="F527" s="9" t="s">
        <v>22</v>
      </c>
      <c r="G527" s="11">
        <v>47625</v>
      </c>
      <c r="H527" s="8">
        <v>93</v>
      </c>
      <c r="I527" s="8">
        <v>0</v>
      </c>
      <c r="J527" s="1" t="s">
        <v>19</v>
      </c>
    </row>
    <row r="528" spans="1:10" ht="13.8" x14ac:dyDescent="0.25">
      <c r="A528" t="s">
        <v>574</v>
      </c>
      <c r="B528" s="8">
        <v>25</v>
      </c>
      <c r="C528" s="9" t="s">
        <v>11</v>
      </c>
      <c r="D528" s="9" t="s">
        <v>52</v>
      </c>
      <c r="E528" s="1">
        <v>45501</v>
      </c>
      <c r="F528" s="9" t="s">
        <v>29</v>
      </c>
      <c r="G528" s="11">
        <v>13796</v>
      </c>
      <c r="H528" s="8">
        <v>79</v>
      </c>
      <c r="I528" s="8">
        <v>5</v>
      </c>
      <c r="J528" s="1" t="s">
        <v>19</v>
      </c>
    </row>
    <row r="529" spans="1:10" ht="13.8" x14ac:dyDescent="0.25">
      <c r="A529" t="s">
        <v>575</v>
      </c>
      <c r="B529" s="8">
        <v>27</v>
      </c>
      <c r="C529" s="9" t="s">
        <v>16</v>
      </c>
      <c r="D529" s="9" t="s">
        <v>12</v>
      </c>
      <c r="E529" s="1">
        <v>45022</v>
      </c>
      <c r="F529" s="9" t="s">
        <v>18</v>
      </c>
      <c r="G529" s="11">
        <v>45834</v>
      </c>
      <c r="H529" s="8">
        <v>64</v>
      </c>
      <c r="I529" s="8">
        <v>5</v>
      </c>
      <c r="J529" s="1" t="s">
        <v>80</v>
      </c>
    </row>
    <row r="530" spans="1:10" ht="13.8" x14ac:dyDescent="0.25">
      <c r="A530" t="s">
        <v>576</v>
      </c>
      <c r="B530" s="8">
        <v>46</v>
      </c>
      <c r="C530" s="9" t="s">
        <v>11</v>
      </c>
      <c r="D530" s="9" t="s">
        <v>25</v>
      </c>
      <c r="E530" s="1">
        <v>45105</v>
      </c>
      <c r="F530" s="9" t="s">
        <v>29</v>
      </c>
      <c r="G530" s="11">
        <v>12601</v>
      </c>
      <c r="H530" s="8">
        <v>98</v>
      </c>
      <c r="I530" s="8">
        <v>5</v>
      </c>
      <c r="J530" s="1" t="s">
        <v>38</v>
      </c>
    </row>
    <row r="531" spans="1:10" ht="13.8" x14ac:dyDescent="0.25">
      <c r="A531" t="s">
        <v>577</v>
      </c>
      <c r="B531" s="8">
        <v>29</v>
      </c>
      <c r="C531" s="9" t="s">
        <v>11</v>
      </c>
      <c r="D531" s="9" t="s">
        <v>25</v>
      </c>
      <c r="E531" s="1">
        <v>45114</v>
      </c>
      <c r="F531" s="9" t="s">
        <v>18</v>
      </c>
      <c r="G531" s="11">
        <v>48033</v>
      </c>
      <c r="H531" s="8">
        <v>100</v>
      </c>
      <c r="I531" s="8">
        <v>5</v>
      </c>
      <c r="J531" s="1" t="s">
        <v>78</v>
      </c>
    </row>
    <row r="532" spans="1:10" ht="13.8" x14ac:dyDescent="0.25">
      <c r="A532" t="s">
        <v>578</v>
      </c>
      <c r="B532" s="8">
        <v>22</v>
      </c>
      <c r="C532" s="9" t="s">
        <v>16</v>
      </c>
      <c r="D532" s="9" t="s">
        <v>25</v>
      </c>
      <c r="E532" s="1">
        <v>45226</v>
      </c>
      <c r="F532" s="9" t="s">
        <v>53</v>
      </c>
      <c r="G532" s="11">
        <v>40584</v>
      </c>
      <c r="H532" s="8">
        <v>92</v>
      </c>
      <c r="I532" s="8">
        <v>4</v>
      </c>
      <c r="J532" s="1" t="s">
        <v>27</v>
      </c>
    </row>
    <row r="533" spans="1:10" ht="13.8" x14ac:dyDescent="0.25">
      <c r="A533" t="s">
        <v>579</v>
      </c>
      <c r="B533" s="8">
        <v>70</v>
      </c>
      <c r="C533" s="9" t="s">
        <v>16</v>
      </c>
      <c r="D533" s="9" t="s">
        <v>52</v>
      </c>
      <c r="E533" s="1">
        <v>45319</v>
      </c>
      <c r="F533" s="9" t="s">
        <v>26</v>
      </c>
      <c r="G533" s="11">
        <v>6341</v>
      </c>
      <c r="H533" s="8">
        <v>84</v>
      </c>
      <c r="I533" s="8">
        <v>2</v>
      </c>
      <c r="J533" s="1" t="s">
        <v>23</v>
      </c>
    </row>
    <row r="534" spans="1:10" ht="13.8" x14ac:dyDescent="0.25">
      <c r="A534" t="s">
        <v>580</v>
      </c>
      <c r="B534" s="8">
        <v>39</v>
      </c>
      <c r="C534" s="9" t="s">
        <v>11</v>
      </c>
      <c r="D534" s="9" t="s">
        <v>21</v>
      </c>
      <c r="E534" s="1">
        <v>45020</v>
      </c>
      <c r="F534" s="9" t="s">
        <v>22</v>
      </c>
      <c r="G534" s="11">
        <v>43266</v>
      </c>
      <c r="H534" s="8">
        <v>57</v>
      </c>
      <c r="I534" s="8">
        <v>1</v>
      </c>
      <c r="J534" s="1" t="s">
        <v>80</v>
      </c>
    </row>
    <row r="535" spans="1:10" ht="13.8" x14ac:dyDescent="0.25">
      <c r="A535" t="s">
        <v>581</v>
      </c>
      <c r="B535" s="8">
        <v>67</v>
      </c>
      <c r="C535" s="9" t="s">
        <v>16</v>
      </c>
      <c r="D535" s="9" t="s">
        <v>12</v>
      </c>
      <c r="E535" s="1">
        <v>45587</v>
      </c>
      <c r="F535" s="9" t="s">
        <v>13</v>
      </c>
      <c r="G535" s="11">
        <v>45918</v>
      </c>
      <c r="H535" s="8">
        <v>87</v>
      </c>
      <c r="I535" s="8">
        <v>0</v>
      </c>
      <c r="J535" s="1" t="s">
        <v>92</v>
      </c>
    </row>
    <row r="536" spans="1:10" ht="13.8" x14ac:dyDescent="0.25">
      <c r="A536" t="s">
        <v>582</v>
      </c>
      <c r="B536" s="8">
        <v>84</v>
      </c>
      <c r="C536" s="9" t="s">
        <v>11</v>
      </c>
      <c r="D536" s="9" t="s">
        <v>17</v>
      </c>
      <c r="E536" s="1">
        <v>45465</v>
      </c>
      <c r="F536" s="9" t="s">
        <v>22</v>
      </c>
      <c r="G536" s="11">
        <v>29838</v>
      </c>
      <c r="H536" s="8">
        <v>99</v>
      </c>
      <c r="I536" s="8">
        <v>1</v>
      </c>
      <c r="J536" s="1" t="s">
        <v>42</v>
      </c>
    </row>
    <row r="537" spans="1:10" ht="13.8" x14ac:dyDescent="0.25">
      <c r="A537" t="s">
        <v>583</v>
      </c>
      <c r="B537" s="8">
        <v>34</v>
      </c>
      <c r="C537" s="9" t="s">
        <v>11</v>
      </c>
      <c r="D537" s="9" t="s">
        <v>25</v>
      </c>
      <c r="E537" s="1">
        <v>45592</v>
      </c>
      <c r="F537" s="9" t="s">
        <v>53</v>
      </c>
      <c r="G537" s="11">
        <v>21520</v>
      </c>
      <c r="H537" s="8">
        <v>56</v>
      </c>
      <c r="I537" s="8">
        <v>3</v>
      </c>
      <c r="J537" s="1" t="s">
        <v>92</v>
      </c>
    </row>
    <row r="538" spans="1:10" ht="13.8" x14ac:dyDescent="0.25">
      <c r="A538" t="s">
        <v>584</v>
      </c>
      <c r="B538" s="8">
        <v>81</v>
      </c>
      <c r="C538" s="9" t="s">
        <v>11</v>
      </c>
      <c r="D538" s="9" t="s">
        <v>21</v>
      </c>
      <c r="E538" s="1">
        <v>45185</v>
      </c>
      <c r="F538" s="9" t="s">
        <v>18</v>
      </c>
      <c r="G538" s="11">
        <v>41944</v>
      </c>
      <c r="H538" s="8">
        <v>65</v>
      </c>
      <c r="I538" s="8">
        <v>0</v>
      </c>
      <c r="J538" s="1" t="s">
        <v>109</v>
      </c>
    </row>
    <row r="539" spans="1:10" ht="13.8" x14ac:dyDescent="0.25">
      <c r="A539" t="s">
        <v>585</v>
      </c>
      <c r="B539" s="8">
        <v>2</v>
      </c>
      <c r="C539" s="9" t="s">
        <v>11</v>
      </c>
      <c r="D539" s="9" t="s">
        <v>25</v>
      </c>
      <c r="E539" s="1">
        <v>45192</v>
      </c>
      <c r="F539" s="9" t="s">
        <v>53</v>
      </c>
      <c r="G539" s="11">
        <v>1794</v>
      </c>
      <c r="H539" s="8">
        <v>67</v>
      </c>
      <c r="I539" s="8">
        <v>3</v>
      </c>
      <c r="J539" s="1" t="s">
        <v>109</v>
      </c>
    </row>
    <row r="540" spans="1:10" ht="13.8" x14ac:dyDescent="0.25">
      <c r="A540" t="s">
        <v>586</v>
      </c>
      <c r="B540" s="8">
        <v>66</v>
      </c>
      <c r="C540" s="9" t="s">
        <v>11</v>
      </c>
      <c r="D540" s="9" t="s">
        <v>52</v>
      </c>
      <c r="E540" s="1">
        <v>45297</v>
      </c>
      <c r="F540" s="9" t="s">
        <v>18</v>
      </c>
      <c r="G540" s="11">
        <v>12793</v>
      </c>
      <c r="H540" s="8">
        <v>54</v>
      </c>
      <c r="I540" s="8">
        <v>0</v>
      </c>
      <c r="J540" s="1" t="s">
        <v>23</v>
      </c>
    </row>
    <row r="541" spans="1:10" ht="13.8" x14ac:dyDescent="0.25">
      <c r="A541" t="s">
        <v>587</v>
      </c>
      <c r="B541" s="8">
        <v>56</v>
      </c>
      <c r="C541" s="9" t="s">
        <v>11</v>
      </c>
      <c r="D541" s="9" t="s">
        <v>17</v>
      </c>
      <c r="E541" s="1">
        <v>45239</v>
      </c>
      <c r="F541" s="9" t="s">
        <v>29</v>
      </c>
      <c r="G541" s="11">
        <v>29132</v>
      </c>
      <c r="H541" s="8">
        <v>64</v>
      </c>
      <c r="I541" s="8">
        <v>3</v>
      </c>
      <c r="J541" s="1" t="s">
        <v>40</v>
      </c>
    </row>
    <row r="542" spans="1:10" ht="13.8" x14ac:dyDescent="0.25">
      <c r="A542" t="s">
        <v>588</v>
      </c>
      <c r="B542" s="8">
        <v>38</v>
      </c>
      <c r="C542" s="9" t="s">
        <v>16</v>
      </c>
      <c r="D542" s="9" t="s">
        <v>17</v>
      </c>
      <c r="E542" s="1">
        <v>45365</v>
      </c>
      <c r="F542" s="9" t="s">
        <v>18</v>
      </c>
      <c r="G542" s="11">
        <v>15763</v>
      </c>
      <c r="H542" s="8">
        <v>71</v>
      </c>
      <c r="I542" s="8">
        <v>1</v>
      </c>
      <c r="J542" s="1" t="s">
        <v>48</v>
      </c>
    </row>
    <row r="543" spans="1:10" ht="13.8" x14ac:dyDescent="0.25">
      <c r="A543" t="s">
        <v>589</v>
      </c>
      <c r="B543" s="8">
        <v>55</v>
      </c>
      <c r="C543" s="9" t="s">
        <v>11</v>
      </c>
      <c r="D543" s="9" t="s">
        <v>62</v>
      </c>
      <c r="E543" s="1">
        <v>45087</v>
      </c>
      <c r="F543" s="9" t="s">
        <v>18</v>
      </c>
      <c r="G543" s="11">
        <v>4266</v>
      </c>
      <c r="H543" s="8">
        <v>43</v>
      </c>
      <c r="I543" s="8">
        <v>5</v>
      </c>
      <c r="J543" s="1" t="s">
        <v>38</v>
      </c>
    </row>
    <row r="544" spans="1:10" ht="13.8" x14ac:dyDescent="0.25">
      <c r="A544" t="s">
        <v>590</v>
      </c>
      <c r="B544" s="8">
        <v>18</v>
      </c>
      <c r="C544" s="9" t="s">
        <v>16</v>
      </c>
      <c r="D544" s="9" t="s">
        <v>52</v>
      </c>
      <c r="E544" s="1">
        <v>45163</v>
      </c>
      <c r="F544" s="9" t="s">
        <v>26</v>
      </c>
      <c r="G544" s="11">
        <v>38663</v>
      </c>
      <c r="H544" s="8">
        <v>56</v>
      </c>
      <c r="I544" s="8">
        <v>2</v>
      </c>
      <c r="J544" s="1" t="s">
        <v>30</v>
      </c>
    </row>
    <row r="545" spans="1:10" ht="13.8" x14ac:dyDescent="0.25">
      <c r="A545" t="s">
        <v>591</v>
      </c>
      <c r="B545" s="8">
        <v>89</v>
      </c>
      <c r="C545" s="9" t="s">
        <v>16</v>
      </c>
      <c r="D545" s="9" t="s">
        <v>62</v>
      </c>
      <c r="E545" s="1">
        <v>45383</v>
      </c>
      <c r="F545" s="9" t="s">
        <v>29</v>
      </c>
      <c r="G545" s="11">
        <v>19378</v>
      </c>
      <c r="H545" s="8">
        <v>63</v>
      </c>
      <c r="I545" s="8">
        <v>2</v>
      </c>
      <c r="J545" s="1" t="s">
        <v>50</v>
      </c>
    </row>
    <row r="546" spans="1:10" ht="13.8" x14ac:dyDescent="0.25">
      <c r="A546" t="s">
        <v>592</v>
      </c>
      <c r="B546" s="8">
        <v>68</v>
      </c>
      <c r="C546" s="9" t="s">
        <v>16</v>
      </c>
      <c r="D546" s="9" t="s">
        <v>17</v>
      </c>
      <c r="E546" s="1">
        <v>45349</v>
      </c>
      <c r="F546" s="9" t="s">
        <v>29</v>
      </c>
      <c r="G546" s="11">
        <v>16162</v>
      </c>
      <c r="H546" s="8">
        <v>41</v>
      </c>
      <c r="I546" s="8">
        <v>3</v>
      </c>
      <c r="J546" s="1" t="s">
        <v>14</v>
      </c>
    </row>
    <row r="547" spans="1:10" ht="13.8" x14ac:dyDescent="0.25">
      <c r="A547" t="s">
        <v>593</v>
      </c>
      <c r="B547" s="8">
        <v>61</v>
      </c>
      <c r="C547" s="9" t="s">
        <v>11</v>
      </c>
      <c r="D547" s="9" t="s">
        <v>25</v>
      </c>
      <c r="E547" s="1">
        <v>45202</v>
      </c>
      <c r="F547" s="9" t="s">
        <v>18</v>
      </c>
      <c r="G547" s="11">
        <v>10224</v>
      </c>
      <c r="H547" s="8">
        <v>61</v>
      </c>
      <c r="I547" s="8">
        <v>2</v>
      </c>
      <c r="J547" s="1" t="s">
        <v>27</v>
      </c>
    </row>
    <row r="548" spans="1:10" ht="13.8" x14ac:dyDescent="0.25">
      <c r="A548" t="s">
        <v>594</v>
      </c>
      <c r="B548" s="8">
        <v>84</v>
      </c>
      <c r="C548" s="9" t="s">
        <v>16</v>
      </c>
      <c r="D548" s="9" t="s">
        <v>17</v>
      </c>
      <c r="E548" s="1">
        <v>45028</v>
      </c>
      <c r="F548" s="9" t="s">
        <v>13</v>
      </c>
      <c r="G548" s="11">
        <v>17380</v>
      </c>
      <c r="H548" s="8">
        <v>98</v>
      </c>
      <c r="I548" s="8">
        <v>4</v>
      </c>
      <c r="J548" s="1" t="s">
        <v>80</v>
      </c>
    </row>
    <row r="549" spans="1:10" ht="13.8" x14ac:dyDescent="0.25">
      <c r="A549" t="s">
        <v>595</v>
      </c>
      <c r="B549" s="8">
        <v>9</v>
      </c>
      <c r="C549" s="9" t="s">
        <v>11</v>
      </c>
      <c r="D549" s="9" t="s">
        <v>12</v>
      </c>
      <c r="E549" s="1">
        <v>45527</v>
      </c>
      <c r="F549" s="9" t="s">
        <v>29</v>
      </c>
      <c r="G549" s="11">
        <v>48807</v>
      </c>
      <c r="H549" s="8">
        <v>56</v>
      </c>
      <c r="I549" s="8">
        <v>4</v>
      </c>
      <c r="J549" s="1" t="s">
        <v>33</v>
      </c>
    </row>
    <row r="550" spans="1:10" ht="13.8" x14ac:dyDescent="0.25">
      <c r="A550" t="s">
        <v>596</v>
      </c>
      <c r="B550" s="8">
        <v>37</v>
      </c>
      <c r="C550" s="9" t="s">
        <v>11</v>
      </c>
      <c r="D550" s="9" t="s">
        <v>62</v>
      </c>
      <c r="E550" s="1">
        <v>44953</v>
      </c>
      <c r="F550" s="9" t="s">
        <v>22</v>
      </c>
      <c r="G550" s="11">
        <v>3310</v>
      </c>
      <c r="H550" s="8">
        <v>48</v>
      </c>
      <c r="I550" s="8">
        <v>1</v>
      </c>
      <c r="J550" s="1" t="s">
        <v>95</v>
      </c>
    </row>
    <row r="551" spans="1:10" ht="13.8" x14ac:dyDescent="0.25">
      <c r="A551" t="s">
        <v>597</v>
      </c>
      <c r="B551" s="8">
        <v>21</v>
      </c>
      <c r="C551" s="9" t="s">
        <v>16</v>
      </c>
      <c r="D551" s="9" t="s">
        <v>62</v>
      </c>
      <c r="E551" s="1">
        <v>45112</v>
      </c>
      <c r="F551" s="9" t="s">
        <v>13</v>
      </c>
      <c r="G551" s="11">
        <v>37030</v>
      </c>
      <c r="H551" s="8">
        <v>97</v>
      </c>
      <c r="I551" s="8">
        <v>1</v>
      </c>
      <c r="J551" s="1" t="s">
        <v>78</v>
      </c>
    </row>
    <row r="552" spans="1:10" ht="13.8" x14ac:dyDescent="0.25">
      <c r="A552" t="s">
        <v>598</v>
      </c>
      <c r="B552" s="8">
        <v>55</v>
      </c>
      <c r="C552" s="9" t="s">
        <v>16</v>
      </c>
      <c r="D552" s="9" t="s">
        <v>12</v>
      </c>
      <c r="E552" s="1">
        <v>45131</v>
      </c>
      <c r="F552" s="9" t="s">
        <v>22</v>
      </c>
      <c r="G552" s="11">
        <v>14022</v>
      </c>
      <c r="H552" s="8">
        <v>100</v>
      </c>
      <c r="I552" s="8">
        <v>3</v>
      </c>
      <c r="J552" s="1" t="s">
        <v>78</v>
      </c>
    </row>
    <row r="553" spans="1:10" ht="13.8" x14ac:dyDescent="0.25">
      <c r="A553" t="s">
        <v>599</v>
      </c>
      <c r="B553" s="8">
        <v>78</v>
      </c>
      <c r="C553" s="9" t="s">
        <v>16</v>
      </c>
      <c r="D553" s="9" t="s">
        <v>12</v>
      </c>
      <c r="E553" s="1">
        <v>45558</v>
      </c>
      <c r="F553" s="9" t="s">
        <v>53</v>
      </c>
      <c r="G553" s="11">
        <v>41124</v>
      </c>
      <c r="H553" s="8">
        <v>60</v>
      </c>
      <c r="I553" s="8">
        <v>0</v>
      </c>
      <c r="J553" s="1" t="s">
        <v>45</v>
      </c>
    </row>
    <row r="554" spans="1:10" ht="13.8" x14ac:dyDescent="0.25">
      <c r="A554" t="s">
        <v>600</v>
      </c>
      <c r="B554" s="8">
        <v>89</v>
      </c>
      <c r="C554" s="9" t="s">
        <v>11</v>
      </c>
      <c r="D554" s="9" t="s">
        <v>17</v>
      </c>
      <c r="E554" s="1">
        <v>45498</v>
      </c>
      <c r="F554" s="9" t="s">
        <v>22</v>
      </c>
      <c r="G554" s="11">
        <v>20070</v>
      </c>
      <c r="H554" s="8">
        <v>46</v>
      </c>
      <c r="I554" s="8">
        <v>2</v>
      </c>
      <c r="J554" s="1" t="s">
        <v>19</v>
      </c>
    </row>
    <row r="555" spans="1:10" ht="13.8" x14ac:dyDescent="0.25">
      <c r="A555" t="s">
        <v>601</v>
      </c>
      <c r="B555" s="8">
        <v>34</v>
      </c>
      <c r="C555" s="9" t="s">
        <v>16</v>
      </c>
      <c r="D555" s="9" t="s">
        <v>21</v>
      </c>
      <c r="E555" s="1">
        <v>45183</v>
      </c>
      <c r="F555" s="9" t="s">
        <v>22</v>
      </c>
      <c r="G555" s="11">
        <v>7798</v>
      </c>
      <c r="H555" s="8">
        <v>44</v>
      </c>
      <c r="I555" s="8">
        <v>3</v>
      </c>
      <c r="J555" s="1" t="s">
        <v>109</v>
      </c>
    </row>
    <row r="556" spans="1:10" ht="13.8" x14ac:dyDescent="0.25">
      <c r="A556" t="s">
        <v>602</v>
      </c>
      <c r="B556" s="8">
        <v>82</v>
      </c>
      <c r="C556" s="9" t="s">
        <v>16</v>
      </c>
      <c r="D556" s="9" t="s">
        <v>21</v>
      </c>
      <c r="E556" s="1">
        <v>45484</v>
      </c>
      <c r="F556" s="9" t="s">
        <v>26</v>
      </c>
      <c r="G556" s="11">
        <v>16412</v>
      </c>
      <c r="H556" s="8">
        <v>60</v>
      </c>
      <c r="I556" s="8">
        <v>5</v>
      </c>
      <c r="J556" s="1" t="s">
        <v>19</v>
      </c>
    </row>
    <row r="557" spans="1:10" ht="13.8" x14ac:dyDescent="0.25">
      <c r="A557" t="s">
        <v>603</v>
      </c>
      <c r="B557" s="8">
        <v>5</v>
      </c>
      <c r="C557" s="9" t="s">
        <v>11</v>
      </c>
      <c r="D557" s="9" t="s">
        <v>12</v>
      </c>
      <c r="E557" s="1">
        <v>45206</v>
      </c>
      <c r="F557" s="9" t="s">
        <v>13</v>
      </c>
      <c r="G557" s="11">
        <v>5513</v>
      </c>
      <c r="H557" s="8">
        <v>65</v>
      </c>
      <c r="I557" s="8">
        <v>0</v>
      </c>
      <c r="J557" s="1" t="s">
        <v>27</v>
      </c>
    </row>
    <row r="558" spans="1:10" ht="13.8" x14ac:dyDescent="0.25">
      <c r="A558" t="s">
        <v>604</v>
      </c>
      <c r="B558" s="8">
        <v>80</v>
      </c>
      <c r="C558" s="9" t="s">
        <v>16</v>
      </c>
      <c r="D558" s="9" t="s">
        <v>52</v>
      </c>
      <c r="E558" s="1">
        <v>45197</v>
      </c>
      <c r="F558" s="9" t="s">
        <v>29</v>
      </c>
      <c r="G558" s="11">
        <v>27527</v>
      </c>
      <c r="H558" s="8">
        <v>79</v>
      </c>
      <c r="I558" s="8">
        <v>0</v>
      </c>
      <c r="J558" s="1" t="s">
        <v>109</v>
      </c>
    </row>
    <row r="559" spans="1:10" ht="13.8" x14ac:dyDescent="0.25">
      <c r="A559" t="s">
        <v>605</v>
      </c>
      <c r="B559" s="8">
        <v>47</v>
      </c>
      <c r="C559" s="9" t="s">
        <v>16</v>
      </c>
      <c r="D559" s="9" t="s">
        <v>21</v>
      </c>
      <c r="E559" s="1">
        <v>45525</v>
      </c>
      <c r="F559" s="9" t="s">
        <v>13</v>
      </c>
      <c r="G559" s="11">
        <v>46353</v>
      </c>
      <c r="H559" s="8">
        <v>78</v>
      </c>
      <c r="I559" s="8">
        <v>5</v>
      </c>
      <c r="J559" s="1" t="s">
        <v>33</v>
      </c>
    </row>
    <row r="560" spans="1:10" ht="13.8" x14ac:dyDescent="0.25">
      <c r="A560" t="s">
        <v>606</v>
      </c>
      <c r="B560" s="8">
        <v>10</v>
      </c>
      <c r="C560" s="9" t="s">
        <v>16</v>
      </c>
      <c r="D560" s="9" t="s">
        <v>21</v>
      </c>
      <c r="E560" s="1">
        <v>45239</v>
      </c>
      <c r="F560" s="9" t="s">
        <v>22</v>
      </c>
      <c r="G560" s="11">
        <v>26896</v>
      </c>
      <c r="H560" s="8">
        <v>76</v>
      </c>
      <c r="I560" s="8">
        <v>0</v>
      </c>
      <c r="J560" s="1" t="s">
        <v>40</v>
      </c>
    </row>
    <row r="561" spans="1:10" ht="13.8" x14ac:dyDescent="0.25">
      <c r="A561" t="s">
        <v>607</v>
      </c>
      <c r="B561" s="8">
        <v>14</v>
      </c>
      <c r="C561" s="9" t="s">
        <v>16</v>
      </c>
      <c r="D561" s="9" t="s">
        <v>25</v>
      </c>
      <c r="E561" s="1">
        <v>45467</v>
      </c>
      <c r="F561" s="9" t="s">
        <v>26</v>
      </c>
      <c r="G561" s="11">
        <v>25020</v>
      </c>
      <c r="H561" s="8">
        <v>85</v>
      </c>
      <c r="I561" s="8">
        <v>3</v>
      </c>
      <c r="J561" s="1" t="s">
        <v>42</v>
      </c>
    </row>
    <row r="562" spans="1:10" ht="13.8" x14ac:dyDescent="0.25">
      <c r="A562" t="s">
        <v>608</v>
      </c>
      <c r="B562" s="8">
        <v>59</v>
      </c>
      <c r="C562" s="9" t="s">
        <v>11</v>
      </c>
      <c r="D562" s="9" t="s">
        <v>17</v>
      </c>
      <c r="E562" s="1">
        <v>45175</v>
      </c>
      <c r="F562" s="9" t="s">
        <v>53</v>
      </c>
      <c r="G562" s="11">
        <v>14044</v>
      </c>
      <c r="H562" s="8">
        <v>92</v>
      </c>
      <c r="I562" s="8">
        <v>5</v>
      </c>
      <c r="J562" s="1" t="s">
        <v>109</v>
      </c>
    </row>
    <row r="563" spans="1:10" ht="13.8" x14ac:dyDescent="0.25">
      <c r="A563" t="s">
        <v>609</v>
      </c>
      <c r="B563" s="8">
        <v>50</v>
      </c>
      <c r="C563" s="9" t="s">
        <v>11</v>
      </c>
      <c r="D563" s="9" t="s">
        <v>12</v>
      </c>
      <c r="E563" s="1">
        <v>45044</v>
      </c>
      <c r="F563" s="9" t="s">
        <v>22</v>
      </c>
      <c r="G563" s="11">
        <v>11589</v>
      </c>
      <c r="H563" s="8">
        <v>87</v>
      </c>
      <c r="I563" s="8">
        <v>1</v>
      </c>
      <c r="J563" s="1" t="s">
        <v>80</v>
      </c>
    </row>
    <row r="564" spans="1:10" ht="13.8" x14ac:dyDescent="0.25">
      <c r="A564" t="s">
        <v>610</v>
      </c>
      <c r="B564" s="8">
        <v>51</v>
      </c>
      <c r="C564" s="9" t="s">
        <v>11</v>
      </c>
      <c r="D564" s="9" t="s">
        <v>62</v>
      </c>
      <c r="E564" s="1">
        <v>45561</v>
      </c>
      <c r="F564" s="9" t="s">
        <v>13</v>
      </c>
      <c r="G564" s="11">
        <v>20860</v>
      </c>
      <c r="H564" s="8">
        <v>56</v>
      </c>
      <c r="I564" s="8">
        <v>1</v>
      </c>
      <c r="J564" s="1" t="s">
        <v>45</v>
      </c>
    </row>
    <row r="565" spans="1:10" ht="13.8" x14ac:dyDescent="0.25">
      <c r="A565" t="s">
        <v>611</v>
      </c>
      <c r="B565" s="8">
        <v>21</v>
      </c>
      <c r="C565" s="9" t="s">
        <v>11</v>
      </c>
      <c r="D565" s="9" t="s">
        <v>17</v>
      </c>
      <c r="E565" s="1">
        <v>45604</v>
      </c>
      <c r="F565" s="9" t="s">
        <v>26</v>
      </c>
      <c r="G565" s="11">
        <v>15054</v>
      </c>
      <c r="H565" s="8">
        <v>87</v>
      </c>
      <c r="I565" s="8">
        <v>4</v>
      </c>
      <c r="J565" s="1" t="s">
        <v>54</v>
      </c>
    </row>
    <row r="566" spans="1:10" ht="13.8" x14ac:dyDescent="0.25">
      <c r="A566" t="s">
        <v>612</v>
      </c>
      <c r="B566" s="8">
        <v>60</v>
      </c>
      <c r="C566" s="9" t="s">
        <v>11</v>
      </c>
      <c r="D566" s="9" t="s">
        <v>17</v>
      </c>
      <c r="E566" s="1">
        <v>45534</v>
      </c>
      <c r="F566" s="9" t="s">
        <v>22</v>
      </c>
      <c r="G566" s="11">
        <v>22362</v>
      </c>
      <c r="H566" s="8">
        <v>82</v>
      </c>
      <c r="I566" s="8">
        <v>1</v>
      </c>
      <c r="J566" s="1" t="s">
        <v>33</v>
      </c>
    </row>
    <row r="567" spans="1:10" ht="13.8" x14ac:dyDescent="0.25">
      <c r="A567" t="s">
        <v>613</v>
      </c>
      <c r="B567" s="8">
        <v>44</v>
      </c>
      <c r="C567" s="9" t="s">
        <v>11</v>
      </c>
      <c r="D567" s="9" t="s">
        <v>12</v>
      </c>
      <c r="E567" s="1">
        <v>45303</v>
      </c>
      <c r="F567" s="9" t="s">
        <v>18</v>
      </c>
      <c r="G567" s="11">
        <v>2467</v>
      </c>
      <c r="H567" s="8">
        <v>98</v>
      </c>
      <c r="I567" s="8">
        <v>3</v>
      </c>
      <c r="J567" s="1" t="s">
        <v>23</v>
      </c>
    </row>
    <row r="568" spans="1:10" ht="13.8" x14ac:dyDescent="0.25">
      <c r="A568" t="s">
        <v>614</v>
      </c>
      <c r="B568" s="8">
        <v>22</v>
      </c>
      <c r="C568" s="9" t="s">
        <v>16</v>
      </c>
      <c r="D568" s="9" t="s">
        <v>62</v>
      </c>
      <c r="E568" s="1">
        <v>45446</v>
      </c>
      <c r="F568" s="9" t="s">
        <v>13</v>
      </c>
      <c r="G568" s="11">
        <v>49583</v>
      </c>
      <c r="H568" s="8">
        <v>43</v>
      </c>
      <c r="I568" s="8">
        <v>3</v>
      </c>
      <c r="J568" s="1" t="s">
        <v>42</v>
      </c>
    </row>
    <row r="569" spans="1:10" ht="13.8" x14ac:dyDescent="0.25">
      <c r="A569" t="s">
        <v>615</v>
      </c>
      <c r="B569" s="8">
        <v>12</v>
      </c>
      <c r="C569" s="9" t="s">
        <v>11</v>
      </c>
      <c r="D569" s="9" t="s">
        <v>62</v>
      </c>
      <c r="E569" s="1">
        <v>45467</v>
      </c>
      <c r="F569" s="9" t="s">
        <v>53</v>
      </c>
      <c r="G569" s="11">
        <v>49884</v>
      </c>
      <c r="H569" s="8">
        <v>83</v>
      </c>
      <c r="I569" s="8">
        <v>4</v>
      </c>
      <c r="J569" s="1" t="s">
        <v>42</v>
      </c>
    </row>
    <row r="570" spans="1:10" ht="13.8" x14ac:dyDescent="0.25">
      <c r="A570" t="s">
        <v>616</v>
      </c>
      <c r="B570" s="8">
        <v>44</v>
      </c>
      <c r="C570" s="9" t="s">
        <v>11</v>
      </c>
      <c r="D570" s="9" t="s">
        <v>17</v>
      </c>
      <c r="E570" s="1">
        <v>45419</v>
      </c>
      <c r="F570" s="9" t="s">
        <v>13</v>
      </c>
      <c r="G570" s="11">
        <v>31072</v>
      </c>
      <c r="H570" s="8">
        <v>90</v>
      </c>
      <c r="I570" s="8">
        <v>1</v>
      </c>
      <c r="J570" s="1" t="s">
        <v>66</v>
      </c>
    </row>
    <row r="571" spans="1:10" ht="13.8" x14ac:dyDescent="0.25">
      <c r="A571" t="s">
        <v>617</v>
      </c>
      <c r="B571" s="8">
        <v>22</v>
      </c>
      <c r="C571" s="9" t="s">
        <v>16</v>
      </c>
      <c r="D571" s="9" t="s">
        <v>25</v>
      </c>
      <c r="E571" s="1">
        <v>45469</v>
      </c>
      <c r="F571" s="9" t="s">
        <v>29</v>
      </c>
      <c r="G571" s="11">
        <v>28582</v>
      </c>
      <c r="H571" s="8">
        <v>73</v>
      </c>
      <c r="I571" s="8">
        <v>3</v>
      </c>
      <c r="J571" s="1" t="s">
        <v>42</v>
      </c>
    </row>
    <row r="572" spans="1:10" ht="13.8" x14ac:dyDescent="0.25">
      <c r="A572" t="s">
        <v>618</v>
      </c>
      <c r="B572" s="8">
        <v>82</v>
      </c>
      <c r="C572" s="9" t="s">
        <v>16</v>
      </c>
      <c r="D572" s="9" t="s">
        <v>21</v>
      </c>
      <c r="E572" s="1">
        <v>45271</v>
      </c>
      <c r="F572" s="9" t="s">
        <v>26</v>
      </c>
      <c r="G572" s="11">
        <v>44438</v>
      </c>
      <c r="H572" s="8">
        <v>56</v>
      </c>
      <c r="I572" s="8">
        <v>5</v>
      </c>
      <c r="J572" s="1" t="s">
        <v>57</v>
      </c>
    </row>
    <row r="573" spans="1:10" ht="13.8" x14ac:dyDescent="0.25">
      <c r="A573" t="s">
        <v>619</v>
      </c>
      <c r="B573" s="8">
        <v>47</v>
      </c>
      <c r="C573" s="9" t="s">
        <v>16</v>
      </c>
      <c r="D573" s="9" t="s">
        <v>12</v>
      </c>
      <c r="E573" s="1">
        <v>45342</v>
      </c>
      <c r="F573" s="9" t="s">
        <v>18</v>
      </c>
      <c r="G573" s="11">
        <v>5225</v>
      </c>
      <c r="H573" s="8">
        <v>48</v>
      </c>
      <c r="I573" s="8">
        <v>1</v>
      </c>
      <c r="J573" s="1" t="s">
        <v>14</v>
      </c>
    </row>
    <row r="574" spans="1:10" ht="13.8" x14ac:dyDescent="0.25">
      <c r="A574" t="s">
        <v>620</v>
      </c>
      <c r="B574" s="8">
        <v>73</v>
      </c>
      <c r="C574" s="9" t="s">
        <v>16</v>
      </c>
      <c r="D574" s="9" t="s">
        <v>62</v>
      </c>
      <c r="E574" s="1">
        <v>44934</v>
      </c>
      <c r="F574" s="9" t="s">
        <v>29</v>
      </c>
      <c r="G574" s="11">
        <v>29213</v>
      </c>
      <c r="H574" s="8">
        <v>53</v>
      </c>
      <c r="I574" s="8">
        <v>4</v>
      </c>
      <c r="J574" s="1" t="s">
        <v>95</v>
      </c>
    </row>
    <row r="575" spans="1:10" ht="13.8" x14ac:dyDescent="0.25">
      <c r="A575" t="s">
        <v>621</v>
      </c>
      <c r="B575" s="8">
        <v>19</v>
      </c>
      <c r="C575" s="9" t="s">
        <v>16</v>
      </c>
      <c r="D575" s="9" t="s">
        <v>25</v>
      </c>
      <c r="E575" s="1">
        <v>45475</v>
      </c>
      <c r="F575" s="9" t="s">
        <v>29</v>
      </c>
      <c r="G575" s="11">
        <v>25554</v>
      </c>
      <c r="H575" s="8">
        <v>81</v>
      </c>
      <c r="I575" s="8">
        <v>4</v>
      </c>
      <c r="J575" s="1" t="s">
        <v>19</v>
      </c>
    </row>
    <row r="576" spans="1:10" ht="13.8" x14ac:dyDescent="0.25">
      <c r="A576" t="s">
        <v>622</v>
      </c>
      <c r="B576" s="8">
        <v>64</v>
      </c>
      <c r="C576" s="9" t="s">
        <v>11</v>
      </c>
      <c r="D576" s="9" t="s">
        <v>52</v>
      </c>
      <c r="E576" s="1">
        <v>45552</v>
      </c>
      <c r="F576" s="9" t="s">
        <v>26</v>
      </c>
      <c r="G576" s="11">
        <v>34098</v>
      </c>
      <c r="H576" s="8">
        <v>63</v>
      </c>
      <c r="I576" s="8">
        <v>5</v>
      </c>
      <c r="J576" s="1" t="s">
        <v>45</v>
      </c>
    </row>
    <row r="577" spans="1:10" ht="13.8" x14ac:dyDescent="0.25">
      <c r="A577" t="s">
        <v>623</v>
      </c>
      <c r="B577" s="8">
        <v>14</v>
      </c>
      <c r="C577" s="9" t="s">
        <v>16</v>
      </c>
      <c r="D577" s="9" t="s">
        <v>62</v>
      </c>
      <c r="E577" s="1">
        <v>45101</v>
      </c>
      <c r="F577" s="9" t="s">
        <v>18</v>
      </c>
      <c r="G577" s="11">
        <v>4036</v>
      </c>
      <c r="H577" s="8">
        <v>84</v>
      </c>
      <c r="I577" s="8">
        <v>0</v>
      </c>
      <c r="J577" s="1" t="s">
        <v>38</v>
      </c>
    </row>
    <row r="578" spans="1:10" ht="13.8" x14ac:dyDescent="0.25">
      <c r="A578" t="s">
        <v>624</v>
      </c>
      <c r="B578" s="8">
        <v>81</v>
      </c>
      <c r="C578" s="9" t="s">
        <v>11</v>
      </c>
      <c r="D578" s="9" t="s">
        <v>52</v>
      </c>
      <c r="E578" s="1">
        <v>45577</v>
      </c>
      <c r="F578" s="9" t="s">
        <v>26</v>
      </c>
      <c r="G578" s="11">
        <v>18507</v>
      </c>
      <c r="H578" s="8">
        <v>71</v>
      </c>
      <c r="I578" s="8">
        <v>1</v>
      </c>
      <c r="J578" s="1" t="s">
        <v>92</v>
      </c>
    </row>
    <row r="579" spans="1:10" ht="13.8" x14ac:dyDescent="0.25">
      <c r="A579" t="s">
        <v>625</v>
      </c>
      <c r="B579" s="8">
        <v>21</v>
      </c>
      <c r="C579" s="9" t="s">
        <v>11</v>
      </c>
      <c r="D579" s="9" t="s">
        <v>12</v>
      </c>
      <c r="E579" s="1">
        <v>45039</v>
      </c>
      <c r="F579" s="9" t="s">
        <v>18</v>
      </c>
      <c r="G579" s="11">
        <v>7574</v>
      </c>
      <c r="H579" s="8">
        <v>76</v>
      </c>
      <c r="I579" s="8">
        <v>4</v>
      </c>
      <c r="J579" s="1" t="s">
        <v>80</v>
      </c>
    </row>
    <row r="580" spans="1:10" ht="13.8" x14ac:dyDescent="0.25">
      <c r="A580" t="s">
        <v>626</v>
      </c>
      <c r="B580" s="8">
        <v>85</v>
      </c>
      <c r="C580" s="9" t="s">
        <v>11</v>
      </c>
      <c r="D580" s="9" t="s">
        <v>17</v>
      </c>
      <c r="E580" s="1">
        <v>45619</v>
      </c>
      <c r="F580" s="9" t="s">
        <v>13</v>
      </c>
      <c r="G580" s="11">
        <v>9991</v>
      </c>
      <c r="H580" s="8">
        <v>56</v>
      </c>
      <c r="I580" s="8">
        <v>1</v>
      </c>
      <c r="J580" s="1" t="s">
        <v>54</v>
      </c>
    </row>
    <row r="581" spans="1:10" ht="13.8" x14ac:dyDescent="0.25">
      <c r="A581" t="s">
        <v>627</v>
      </c>
      <c r="B581" s="8">
        <v>4</v>
      </c>
      <c r="C581" s="9" t="s">
        <v>11</v>
      </c>
      <c r="D581" s="9" t="s">
        <v>17</v>
      </c>
      <c r="E581" s="1">
        <v>45071</v>
      </c>
      <c r="F581" s="9" t="s">
        <v>13</v>
      </c>
      <c r="G581" s="11">
        <v>11837</v>
      </c>
      <c r="H581" s="8">
        <v>74</v>
      </c>
      <c r="I581" s="8">
        <v>3</v>
      </c>
      <c r="J581" s="1" t="s">
        <v>35</v>
      </c>
    </row>
    <row r="582" spans="1:10" ht="13.8" x14ac:dyDescent="0.25">
      <c r="A582" t="s">
        <v>628</v>
      </c>
      <c r="B582" s="8">
        <v>63</v>
      </c>
      <c r="C582" s="9" t="s">
        <v>11</v>
      </c>
      <c r="D582" s="9" t="s">
        <v>17</v>
      </c>
      <c r="E582" s="1">
        <v>45136</v>
      </c>
      <c r="F582" s="9" t="s">
        <v>29</v>
      </c>
      <c r="G582" s="11">
        <v>707</v>
      </c>
      <c r="H582" s="8">
        <v>71</v>
      </c>
      <c r="I582" s="8">
        <v>1</v>
      </c>
      <c r="J582" s="1" t="s">
        <v>78</v>
      </c>
    </row>
    <row r="583" spans="1:10" ht="13.8" x14ac:dyDescent="0.25">
      <c r="A583" t="s">
        <v>629</v>
      </c>
      <c r="B583" s="8">
        <v>63</v>
      </c>
      <c r="C583" s="9" t="s">
        <v>16</v>
      </c>
      <c r="D583" s="9" t="s">
        <v>21</v>
      </c>
      <c r="E583" s="1">
        <v>45440</v>
      </c>
      <c r="F583" s="9" t="s">
        <v>22</v>
      </c>
      <c r="G583" s="11">
        <v>16140</v>
      </c>
      <c r="H583" s="8">
        <v>47</v>
      </c>
      <c r="I583" s="8">
        <v>3</v>
      </c>
      <c r="J583" s="1" t="s">
        <v>66</v>
      </c>
    </row>
    <row r="584" spans="1:10" ht="13.8" x14ac:dyDescent="0.25">
      <c r="A584" t="s">
        <v>630</v>
      </c>
      <c r="B584" s="8">
        <v>25</v>
      </c>
      <c r="C584" s="9" t="s">
        <v>16</v>
      </c>
      <c r="D584" s="9" t="s">
        <v>12</v>
      </c>
      <c r="E584" s="1">
        <v>45329</v>
      </c>
      <c r="F584" s="9" t="s">
        <v>18</v>
      </c>
      <c r="G584" s="11">
        <v>20523</v>
      </c>
      <c r="H584" s="8">
        <v>53</v>
      </c>
      <c r="I584" s="8">
        <v>5</v>
      </c>
      <c r="J584" s="1" t="s">
        <v>14</v>
      </c>
    </row>
    <row r="585" spans="1:10" ht="13.8" x14ac:dyDescent="0.25">
      <c r="A585" t="s">
        <v>631</v>
      </c>
      <c r="B585" s="8">
        <v>77</v>
      </c>
      <c r="C585" s="9" t="s">
        <v>11</v>
      </c>
      <c r="D585" s="9" t="s">
        <v>25</v>
      </c>
      <c r="E585" s="1">
        <v>45162</v>
      </c>
      <c r="F585" s="9" t="s">
        <v>26</v>
      </c>
      <c r="G585" s="11">
        <v>10470</v>
      </c>
      <c r="H585" s="8">
        <v>64</v>
      </c>
      <c r="I585" s="8">
        <v>2</v>
      </c>
      <c r="J585" s="1" t="s">
        <v>30</v>
      </c>
    </row>
    <row r="586" spans="1:10" ht="13.8" x14ac:dyDescent="0.25">
      <c r="A586" t="s">
        <v>632</v>
      </c>
      <c r="B586" s="8">
        <v>63</v>
      </c>
      <c r="C586" s="9" t="s">
        <v>16</v>
      </c>
      <c r="D586" s="9" t="s">
        <v>21</v>
      </c>
      <c r="E586" s="1">
        <v>45048</v>
      </c>
      <c r="F586" s="9" t="s">
        <v>29</v>
      </c>
      <c r="G586" s="11">
        <v>8212</v>
      </c>
      <c r="H586" s="8">
        <v>82</v>
      </c>
      <c r="I586" s="8">
        <v>0</v>
      </c>
      <c r="J586" s="1" t="s">
        <v>35</v>
      </c>
    </row>
    <row r="587" spans="1:10" ht="13.8" x14ac:dyDescent="0.25">
      <c r="A587" t="s">
        <v>633</v>
      </c>
      <c r="B587" s="8">
        <v>72</v>
      </c>
      <c r="C587" s="9" t="s">
        <v>11</v>
      </c>
      <c r="D587" s="9" t="s">
        <v>21</v>
      </c>
      <c r="E587" s="1">
        <v>45221</v>
      </c>
      <c r="F587" s="9" t="s">
        <v>29</v>
      </c>
      <c r="G587" s="11">
        <v>44052</v>
      </c>
      <c r="H587" s="8">
        <v>83</v>
      </c>
      <c r="I587" s="8">
        <v>0</v>
      </c>
      <c r="J587" s="1" t="s">
        <v>27</v>
      </c>
    </row>
    <row r="588" spans="1:10" ht="13.8" x14ac:dyDescent="0.25">
      <c r="A588" t="s">
        <v>634</v>
      </c>
      <c r="B588" s="8">
        <v>58</v>
      </c>
      <c r="C588" s="9" t="s">
        <v>16</v>
      </c>
      <c r="D588" s="9" t="s">
        <v>62</v>
      </c>
      <c r="E588" s="1">
        <v>45339</v>
      </c>
      <c r="F588" s="9" t="s">
        <v>18</v>
      </c>
      <c r="G588" s="11">
        <v>12734</v>
      </c>
      <c r="H588" s="8">
        <v>64</v>
      </c>
      <c r="I588" s="8">
        <v>5</v>
      </c>
      <c r="J588" s="1" t="s">
        <v>14</v>
      </c>
    </row>
    <row r="589" spans="1:10" ht="13.8" x14ac:dyDescent="0.25">
      <c r="A589" t="s">
        <v>635</v>
      </c>
      <c r="B589" s="8">
        <v>65</v>
      </c>
      <c r="C589" s="9" t="s">
        <v>16</v>
      </c>
      <c r="D589" s="9" t="s">
        <v>17</v>
      </c>
      <c r="E589" s="1">
        <v>44965</v>
      </c>
      <c r="F589" s="9" t="s">
        <v>22</v>
      </c>
      <c r="G589" s="11">
        <v>5251</v>
      </c>
      <c r="H589" s="8">
        <v>50</v>
      </c>
      <c r="I589" s="8">
        <v>3</v>
      </c>
      <c r="J589" s="1" t="s">
        <v>126</v>
      </c>
    </row>
    <row r="590" spans="1:10" ht="13.8" x14ac:dyDescent="0.25">
      <c r="A590" t="s">
        <v>636</v>
      </c>
      <c r="B590" s="8">
        <v>42</v>
      </c>
      <c r="C590" s="9" t="s">
        <v>16</v>
      </c>
      <c r="D590" s="9" t="s">
        <v>25</v>
      </c>
      <c r="E590" s="1">
        <v>45616</v>
      </c>
      <c r="F590" s="9" t="s">
        <v>18</v>
      </c>
      <c r="G590" s="11">
        <v>28285</v>
      </c>
      <c r="H590" s="8">
        <v>68</v>
      </c>
      <c r="I590" s="8">
        <v>5</v>
      </c>
      <c r="J590" s="1" t="s">
        <v>54</v>
      </c>
    </row>
    <row r="591" spans="1:10" ht="13.8" x14ac:dyDescent="0.25">
      <c r="A591" t="s">
        <v>637</v>
      </c>
      <c r="B591" s="8">
        <v>55</v>
      </c>
      <c r="C591" s="9" t="s">
        <v>11</v>
      </c>
      <c r="D591" s="9" t="s">
        <v>62</v>
      </c>
      <c r="E591" s="1">
        <v>45467</v>
      </c>
      <c r="F591" s="9" t="s">
        <v>18</v>
      </c>
      <c r="G591" s="11">
        <v>23430</v>
      </c>
      <c r="H591" s="8">
        <v>88</v>
      </c>
      <c r="I591" s="8">
        <v>2</v>
      </c>
      <c r="J591" s="1" t="s">
        <v>42</v>
      </c>
    </row>
    <row r="592" spans="1:10" ht="13.8" x14ac:dyDescent="0.25">
      <c r="A592" t="s">
        <v>638</v>
      </c>
      <c r="B592" s="8">
        <v>28</v>
      </c>
      <c r="C592" s="9" t="s">
        <v>16</v>
      </c>
      <c r="D592" s="9" t="s">
        <v>21</v>
      </c>
      <c r="E592" s="1">
        <v>45525</v>
      </c>
      <c r="F592" s="9" t="s">
        <v>18</v>
      </c>
      <c r="G592" s="11">
        <v>3035</v>
      </c>
      <c r="H592" s="8">
        <v>63</v>
      </c>
      <c r="I592" s="8">
        <v>1</v>
      </c>
      <c r="J592" s="1" t="s">
        <v>33</v>
      </c>
    </row>
    <row r="593" spans="1:10" ht="13.8" x14ac:dyDescent="0.25">
      <c r="A593" t="s">
        <v>639</v>
      </c>
      <c r="B593" s="8">
        <v>36</v>
      </c>
      <c r="C593" s="9" t="s">
        <v>16</v>
      </c>
      <c r="D593" s="9" t="s">
        <v>12</v>
      </c>
      <c r="E593" s="1">
        <v>45333</v>
      </c>
      <c r="F593" s="9" t="s">
        <v>29</v>
      </c>
      <c r="G593" s="11">
        <v>776</v>
      </c>
      <c r="H593" s="8">
        <v>76</v>
      </c>
      <c r="I593" s="8">
        <v>1</v>
      </c>
      <c r="J593" s="1" t="s">
        <v>14</v>
      </c>
    </row>
    <row r="594" spans="1:10" ht="13.8" x14ac:dyDescent="0.25">
      <c r="A594" t="s">
        <v>640</v>
      </c>
      <c r="B594" s="8">
        <v>82</v>
      </c>
      <c r="C594" s="9" t="s">
        <v>11</v>
      </c>
      <c r="D594" s="9" t="s">
        <v>12</v>
      </c>
      <c r="E594" s="1">
        <v>45349</v>
      </c>
      <c r="F594" s="9" t="s">
        <v>29</v>
      </c>
      <c r="G594" s="11">
        <v>21632</v>
      </c>
      <c r="H594" s="8">
        <v>84</v>
      </c>
      <c r="I594" s="8">
        <v>3</v>
      </c>
      <c r="J594" s="1" t="s">
        <v>14</v>
      </c>
    </row>
    <row r="595" spans="1:10" ht="13.8" x14ac:dyDescent="0.25">
      <c r="A595" t="s">
        <v>641</v>
      </c>
      <c r="B595" s="8">
        <v>80</v>
      </c>
      <c r="C595" s="9" t="s">
        <v>16</v>
      </c>
      <c r="D595" s="9" t="s">
        <v>62</v>
      </c>
      <c r="E595" s="1">
        <v>45256</v>
      </c>
      <c r="F595" s="9" t="s">
        <v>29</v>
      </c>
      <c r="G595" s="11">
        <v>44128</v>
      </c>
      <c r="H595" s="8">
        <v>76</v>
      </c>
      <c r="I595" s="8">
        <v>1</v>
      </c>
      <c r="J595" s="1" t="s">
        <v>40</v>
      </c>
    </row>
    <row r="596" spans="1:10" ht="13.8" x14ac:dyDescent="0.25">
      <c r="A596" t="s">
        <v>642</v>
      </c>
      <c r="B596" s="8">
        <v>80</v>
      </c>
      <c r="C596" s="9" t="s">
        <v>11</v>
      </c>
      <c r="D596" s="9" t="s">
        <v>17</v>
      </c>
      <c r="E596" s="1">
        <v>45596</v>
      </c>
      <c r="F596" s="9" t="s">
        <v>53</v>
      </c>
      <c r="G596" s="11">
        <v>39881</v>
      </c>
      <c r="H596" s="8">
        <v>92</v>
      </c>
      <c r="I596" s="8">
        <v>2</v>
      </c>
      <c r="J596" s="1" t="s">
        <v>92</v>
      </c>
    </row>
    <row r="597" spans="1:10" ht="13.8" x14ac:dyDescent="0.25">
      <c r="A597" t="s">
        <v>643</v>
      </c>
      <c r="B597" s="8">
        <v>32</v>
      </c>
      <c r="C597" s="9" t="s">
        <v>16</v>
      </c>
      <c r="D597" s="9" t="s">
        <v>17</v>
      </c>
      <c r="E597" s="1">
        <v>45077</v>
      </c>
      <c r="F597" s="9" t="s">
        <v>26</v>
      </c>
      <c r="G597" s="11">
        <v>5002</v>
      </c>
      <c r="H597" s="8">
        <v>55</v>
      </c>
      <c r="I597" s="8">
        <v>1</v>
      </c>
      <c r="J597" s="1" t="s">
        <v>35</v>
      </c>
    </row>
    <row r="598" spans="1:10" ht="13.8" x14ac:dyDescent="0.25">
      <c r="A598" t="s">
        <v>644</v>
      </c>
      <c r="B598" s="8">
        <v>52</v>
      </c>
      <c r="C598" s="9" t="s">
        <v>11</v>
      </c>
      <c r="D598" s="9" t="s">
        <v>12</v>
      </c>
      <c r="E598" s="1">
        <v>45467</v>
      </c>
      <c r="F598" s="9" t="s">
        <v>53</v>
      </c>
      <c r="G598" s="11">
        <v>12637</v>
      </c>
      <c r="H598" s="8">
        <v>93</v>
      </c>
      <c r="I598" s="8">
        <v>0</v>
      </c>
      <c r="J598" s="1" t="s">
        <v>42</v>
      </c>
    </row>
    <row r="599" spans="1:10" ht="13.8" x14ac:dyDescent="0.25">
      <c r="A599" t="s">
        <v>645</v>
      </c>
      <c r="B599" s="8">
        <v>81</v>
      </c>
      <c r="C599" s="9" t="s">
        <v>11</v>
      </c>
      <c r="D599" s="9" t="s">
        <v>25</v>
      </c>
      <c r="E599" s="1">
        <v>45202</v>
      </c>
      <c r="F599" s="9" t="s">
        <v>18</v>
      </c>
      <c r="G599" s="11">
        <v>1267</v>
      </c>
      <c r="H599" s="8">
        <v>46</v>
      </c>
      <c r="I599" s="8">
        <v>4</v>
      </c>
      <c r="J599" s="1" t="s">
        <v>27</v>
      </c>
    </row>
    <row r="600" spans="1:10" ht="13.8" x14ac:dyDescent="0.25">
      <c r="A600" t="s">
        <v>646</v>
      </c>
      <c r="B600" s="8">
        <v>16</v>
      </c>
      <c r="C600" s="9" t="s">
        <v>16</v>
      </c>
      <c r="D600" s="9" t="s">
        <v>17</v>
      </c>
      <c r="E600" s="1">
        <v>45577</v>
      </c>
      <c r="F600" s="9" t="s">
        <v>18</v>
      </c>
      <c r="G600" s="11">
        <v>49285</v>
      </c>
      <c r="H600" s="8">
        <v>86</v>
      </c>
      <c r="I600" s="8">
        <v>1</v>
      </c>
      <c r="J600" s="1" t="s">
        <v>92</v>
      </c>
    </row>
    <row r="601" spans="1:10" ht="13.8" x14ac:dyDescent="0.25">
      <c r="A601" t="s">
        <v>647</v>
      </c>
      <c r="B601" s="8">
        <v>42</v>
      </c>
      <c r="C601" s="9" t="s">
        <v>11</v>
      </c>
      <c r="D601" s="9" t="s">
        <v>17</v>
      </c>
      <c r="E601" s="1">
        <v>44946</v>
      </c>
      <c r="F601" s="9" t="s">
        <v>26</v>
      </c>
      <c r="G601" s="11">
        <v>7160</v>
      </c>
      <c r="H601" s="8">
        <v>84</v>
      </c>
      <c r="I601" s="8">
        <v>3</v>
      </c>
      <c r="J601" s="1" t="s">
        <v>95</v>
      </c>
    </row>
    <row r="602" spans="1:10" ht="13.8" x14ac:dyDescent="0.25">
      <c r="A602" t="s">
        <v>648</v>
      </c>
      <c r="B602" s="8">
        <v>48</v>
      </c>
      <c r="C602" s="9" t="s">
        <v>16</v>
      </c>
      <c r="D602" s="9" t="s">
        <v>12</v>
      </c>
      <c r="E602" s="1">
        <v>45548</v>
      </c>
      <c r="F602" s="9" t="s">
        <v>18</v>
      </c>
      <c r="G602" s="11">
        <v>33003</v>
      </c>
      <c r="H602" s="8">
        <v>76</v>
      </c>
      <c r="I602" s="8">
        <v>0</v>
      </c>
      <c r="J602" s="1" t="s">
        <v>45</v>
      </c>
    </row>
    <row r="603" spans="1:10" ht="13.8" x14ac:dyDescent="0.25">
      <c r="A603" t="s">
        <v>649</v>
      </c>
      <c r="B603" s="8">
        <v>18</v>
      </c>
      <c r="C603" s="9" t="s">
        <v>11</v>
      </c>
      <c r="D603" s="9" t="s">
        <v>12</v>
      </c>
      <c r="E603" s="1">
        <v>45133</v>
      </c>
      <c r="F603" s="9" t="s">
        <v>26</v>
      </c>
      <c r="G603" s="11">
        <v>46688</v>
      </c>
      <c r="H603" s="8">
        <v>83</v>
      </c>
      <c r="I603" s="8">
        <v>1</v>
      </c>
      <c r="J603" s="1" t="s">
        <v>78</v>
      </c>
    </row>
    <row r="604" spans="1:10" ht="13.8" x14ac:dyDescent="0.25">
      <c r="A604" t="s">
        <v>650</v>
      </c>
      <c r="B604" s="8">
        <v>81</v>
      </c>
      <c r="C604" s="9" t="s">
        <v>16</v>
      </c>
      <c r="D604" s="9" t="s">
        <v>21</v>
      </c>
      <c r="E604" s="1">
        <v>45608</v>
      </c>
      <c r="F604" s="9" t="s">
        <v>29</v>
      </c>
      <c r="G604" s="11">
        <v>22007</v>
      </c>
      <c r="H604" s="8">
        <v>56</v>
      </c>
      <c r="I604" s="8">
        <v>0</v>
      </c>
      <c r="J604" s="1" t="s">
        <v>54</v>
      </c>
    </row>
    <row r="605" spans="1:10" ht="13.8" x14ac:dyDescent="0.25">
      <c r="A605" t="s">
        <v>651</v>
      </c>
      <c r="B605" s="8">
        <v>41</v>
      </c>
      <c r="C605" s="9" t="s">
        <v>16</v>
      </c>
      <c r="D605" s="9" t="s">
        <v>52</v>
      </c>
      <c r="E605" s="1">
        <v>44947</v>
      </c>
      <c r="F605" s="9" t="s">
        <v>22</v>
      </c>
      <c r="G605" s="11">
        <v>19043</v>
      </c>
      <c r="H605" s="8">
        <v>48</v>
      </c>
      <c r="I605" s="8">
        <v>2</v>
      </c>
      <c r="J605" s="1" t="s">
        <v>95</v>
      </c>
    </row>
    <row r="606" spans="1:10" ht="13.8" x14ac:dyDescent="0.25">
      <c r="A606" t="s">
        <v>652</v>
      </c>
      <c r="B606" s="8">
        <v>50</v>
      </c>
      <c r="C606" s="9" t="s">
        <v>11</v>
      </c>
      <c r="D606" s="9" t="s">
        <v>17</v>
      </c>
      <c r="E606" s="1">
        <v>45382</v>
      </c>
      <c r="F606" s="9" t="s">
        <v>13</v>
      </c>
      <c r="G606" s="11">
        <v>1974</v>
      </c>
      <c r="H606" s="8">
        <v>97</v>
      </c>
      <c r="I606" s="8">
        <v>2</v>
      </c>
      <c r="J606" s="1" t="s">
        <v>48</v>
      </c>
    </row>
    <row r="607" spans="1:10" ht="13.8" x14ac:dyDescent="0.25">
      <c r="A607" t="s">
        <v>653</v>
      </c>
      <c r="B607" s="8">
        <v>66</v>
      </c>
      <c r="C607" s="9" t="s">
        <v>11</v>
      </c>
      <c r="D607" s="9" t="s">
        <v>62</v>
      </c>
      <c r="E607" s="1">
        <v>44948</v>
      </c>
      <c r="F607" s="9" t="s">
        <v>18</v>
      </c>
      <c r="G607" s="11">
        <v>17264</v>
      </c>
      <c r="H607" s="8">
        <v>66</v>
      </c>
      <c r="I607" s="8">
        <v>5</v>
      </c>
      <c r="J607" s="1" t="s">
        <v>95</v>
      </c>
    </row>
    <row r="608" spans="1:10" ht="13.8" x14ac:dyDescent="0.25">
      <c r="A608" t="s">
        <v>654</v>
      </c>
      <c r="B608" s="8">
        <v>41</v>
      </c>
      <c r="C608" s="9" t="s">
        <v>11</v>
      </c>
      <c r="D608" s="9" t="s">
        <v>12</v>
      </c>
      <c r="E608" s="1">
        <v>45048</v>
      </c>
      <c r="F608" s="9" t="s">
        <v>22</v>
      </c>
      <c r="G608" s="11">
        <v>28037</v>
      </c>
      <c r="H608" s="8">
        <v>99</v>
      </c>
      <c r="I608" s="8">
        <v>2</v>
      </c>
      <c r="J608" s="1" t="s">
        <v>35</v>
      </c>
    </row>
    <row r="609" spans="1:10" ht="13.8" x14ac:dyDescent="0.25">
      <c r="A609" t="s">
        <v>655</v>
      </c>
      <c r="B609" s="8">
        <v>53</v>
      </c>
      <c r="C609" s="9" t="s">
        <v>11</v>
      </c>
      <c r="D609" s="9" t="s">
        <v>21</v>
      </c>
      <c r="E609" s="1">
        <v>45393</v>
      </c>
      <c r="F609" s="9" t="s">
        <v>13</v>
      </c>
      <c r="G609" s="11">
        <v>2369</v>
      </c>
      <c r="H609" s="8">
        <v>62</v>
      </c>
      <c r="I609" s="8">
        <v>4</v>
      </c>
      <c r="J609" s="1" t="s">
        <v>50</v>
      </c>
    </row>
    <row r="610" spans="1:10" ht="13.8" x14ac:dyDescent="0.25">
      <c r="A610" t="s">
        <v>656</v>
      </c>
      <c r="B610" s="8">
        <v>45</v>
      </c>
      <c r="C610" s="9" t="s">
        <v>16</v>
      </c>
      <c r="D610" s="9" t="s">
        <v>17</v>
      </c>
      <c r="E610" s="1">
        <v>45043</v>
      </c>
      <c r="F610" s="9" t="s">
        <v>29</v>
      </c>
      <c r="G610" s="11">
        <v>19894</v>
      </c>
      <c r="H610" s="8">
        <v>78</v>
      </c>
      <c r="I610" s="8">
        <v>0</v>
      </c>
      <c r="J610" s="1" t="s">
        <v>80</v>
      </c>
    </row>
    <row r="611" spans="1:10" ht="13.8" x14ac:dyDescent="0.25">
      <c r="A611" t="s">
        <v>657</v>
      </c>
      <c r="B611" s="8">
        <v>47</v>
      </c>
      <c r="C611" s="9" t="s">
        <v>16</v>
      </c>
      <c r="D611" s="9" t="s">
        <v>62</v>
      </c>
      <c r="E611" s="1">
        <v>45171</v>
      </c>
      <c r="F611" s="9" t="s">
        <v>18</v>
      </c>
      <c r="G611" s="11">
        <v>33335</v>
      </c>
      <c r="H611" s="8">
        <v>70</v>
      </c>
      <c r="I611" s="8">
        <v>4</v>
      </c>
      <c r="J611" s="1" t="s">
        <v>109</v>
      </c>
    </row>
    <row r="612" spans="1:10" ht="13.8" x14ac:dyDescent="0.25">
      <c r="A612" t="s">
        <v>658</v>
      </c>
      <c r="B612" s="8">
        <v>30</v>
      </c>
      <c r="C612" s="9" t="s">
        <v>16</v>
      </c>
      <c r="D612" s="9" t="s">
        <v>17</v>
      </c>
      <c r="E612" s="1">
        <v>45336</v>
      </c>
      <c r="F612" s="9" t="s">
        <v>22</v>
      </c>
      <c r="G612" s="11">
        <v>42658</v>
      </c>
      <c r="H612" s="8">
        <v>67</v>
      </c>
      <c r="I612" s="8">
        <v>3</v>
      </c>
      <c r="J612" s="1" t="s">
        <v>14</v>
      </c>
    </row>
    <row r="613" spans="1:10" ht="13.8" x14ac:dyDescent="0.25">
      <c r="A613" t="s">
        <v>659</v>
      </c>
      <c r="B613" s="8">
        <v>59</v>
      </c>
      <c r="C613" s="9" t="s">
        <v>16</v>
      </c>
      <c r="D613" s="9" t="s">
        <v>12</v>
      </c>
      <c r="E613" s="1">
        <v>45511</v>
      </c>
      <c r="F613" s="9" t="s">
        <v>29</v>
      </c>
      <c r="G613" s="11">
        <v>15260</v>
      </c>
      <c r="H613" s="8">
        <v>75</v>
      </c>
      <c r="I613" s="8">
        <v>5</v>
      </c>
      <c r="J613" s="1" t="s">
        <v>33</v>
      </c>
    </row>
    <row r="614" spans="1:10" ht="13.8" x14ac:dyDescent="0.25">
      <c r="A614" t="s">
        <v>660</v>
      </c>
      <c r="B614" s="8">
        <v>38</v>
      </c>
      <c r="C614" s="9" t="s">
        <v>16</v>
      </c>
      <c r="D614" s="9" t="s">
        <v>62</v>
      </c>
      <c r="E614" s="1">
        <v>45128</v>
      </c>
      <c r="F614" s="9" t="s">
        <v>22</v>
      </c>
      <c r="G614" s="11">
        <v>1814</v>
      </c>
      <c r="H614" s="8">
        <v>43</v>
      </c>
      <c r="I614" s="8">
        <v>3</v>
      </c>
      <c r="J614" s="1" t="s">
        <v>78</v>
      </c>
    </row>
    <row r="615" spans="1:10" ht="13.8" x14ac:dyDescent="0.25">
      <c r="A615" t="s">
        <v>661</v>
      </c>
      <c r="B615" s="8">
        <v>67</v>
      </c>
      <c r="C615" s="9" t="s">
        <v>11</v>
      </c>
      <c r="D615" s="9" t="s">
        <v>25</v>
      </c>
      <c r="E615" s="1">
        <v>45486</v>
      </c>
      <c r="F615" s="9" t="s">
        <v>26</v>
      </c>
      <c r="G615" s="11">
        <v>12225</v>
      </c>
      <c r="H615" s="8">
        <v>86</v>
      </c>
      <c r="I615" s="8">
        <v>5</v>
      </c>
      <c r="J615" s="1" t="s">
        <v>19</v>
      </c>
    </row>
    <row r="616" spans="1:10" ht="13.8" x14ac:dyDescent="0.25">
      <c r="A616" t="s">
        <v>662</v>
      </c>
      <c r="B616" s="8">
        <v>2</v>
      </c>
      <c r="C616" s="9" t="s">
        <v>11</v>
      </c>
      <c r="D616" s="9" t="s">
        <v>52</v>
      </c>
      <c r="E616" s="1">
        <v>45194</v>
      </c>
      <c r="F616" s="9" t="s">
        <v>13</v>
      </c>
      <c r="G616" s="11">
        <v>966</v>
      </c>
      <c r="H616" s="8">
        <v>74</v>
      </c>
      <c r="I616" s="8">
        <v>4</v>
      </c>
      <c r="J616" s="1" t="s">
        <v>109</v>
      </c>
    </row>
    <row r="617" spans="1:10" ht="13.8" x14ac:dyDescent="0.25">
      <c r="A617" t="s">
        <v>663</v>
      </c>
      <c r="B617" s="8">
        <v>21</v>
      </c>
      <c r="C617" s="9" t="s">
        <v>11</v>
      </c>
      <c r="D617" s="9" t="s">
        <v>21</v>
      </c>
      <c r="E617" s="1">
        <v>45584</v>
      </c>
      <c r="F617" s="9" t="s">
        <v>13</v>
      </c>
      <c r="G617" s="11">
        <v>28535</v>
      </c>
      <c r="H617" s="8">
        <v>100</v>
      </c>
      <c r="I617" s="8">
        <v>2</v>
      </c>
      <c r="J617" s="1" t="s">
        <v>92</v>
      </c>
    </row>
    <row r="618" spans="1:10" ht="13.8" x14ac:dyDescent="0.25">
      <c r="A618" t="s">
        <v>664</v>
      </c>
      <c r="B618" s="8">
        <v>79</v>
      </c>
      <c r="C618" s="9" t="s">
        <v>11</v>
      </c>
      <c r="D618" s="9" t="s">
        <v>62</v>
      </c>
      <c r="E618" s="1">
        <v>45430</v>
      </c>
      <c r="F618" s="9" t="s">
        <v>53</v>
      </c>
      <c r="G618" s="11">
        <v>46586</v>
      </c>
      <c r="H618" s="8">
        <v>79</v>
      </c>
      <c r="I618" s="8">
        <v>3</v>
      </c>
      <c r="J618" s="1" t="s">
        <v>66</v>
      </c>
    </row>
    <row r="619" spans="1:10" ht="13.8" x14ac:dyDescent="0.25">
      <c r="A619" t="s">
        <v>665</v>
      </c>
      <c r="B619" s="8">
        <v>52</v>
      </c>
      <c r="C619" s="9" t="s">
        <v>16</v>
      </c>
      <c r="D619" s="9" t="s">
        <v>17</v>
      </c>
      <c r="E619" s="1">
        <v>45501</v>
      </c>
      <c r="F619" s="9" t="s">
        <v>26</v>
      </c>
      <c r="G619" s="11">
        <v>30116</v>
      </c>
      <c r="H619" s="8">
        <v>63</v>
      </c>
      <c r="I619" s="8">
        <v>2</v>
      </c>
      <c r="J619" s="1" t="s">
        <v>19</v>
      </c>
    </row>
    <row r="620" spans="1:10" ht="13.8" x14ac:dyDescent="0.25">
      <c r="A620" t="s">
        <v>666</v>
      </c>
      <c r="B620" s="8">
        <v>88</v>
      </c>
      <c r="C620" s="9" t="s">
        <v>11</v>
      </c>
      <c r="D620" s="9" t="s">
        <v>17</v>
      </c>
      <c r="E620" s="1">
        <v>45519</v>
      </c>
      <c r="F620" s="9" t="s">
        <v>13</v>
      </c>
      <c r="G620" s="11">
        <v>34202</v>
      </c>
      <c r="H620" s="8">
        <v>88</v>
      </c>
      <c r="I620" s="8">
        <v>1</v>
      </c>
      <c r="J620" s="1" t="s">
        <v>33</v>
      </c>
    </row>
    <row r="621" spans="1:10" ht="13.8" x14ac:dyDescent="0.25">
      <c r="A621" t="s">
        <v>667</v>
      </c>
      <c r="B621" s="8">
        <v>81</v>
      </c>
      <c r="C621" s="9" t="s">
        <v>16</v>
      </c>
      <c r="D621" s="9" t="s">
        <v>25</v>
      </c>
      <c r="E621" s="1">
        <v>45136</v>
      </c>
      <c r="F621" s="9" t="s">
        <v>22</v>
      </c>
      <c r="G621" s="11">
        <v>24985</v>
      </c>
      <c r="H621" s="8">
        <v>78</v>
      </c>
      <c r="I621" s="8">
        <v>3</v>
      </c>
      <c r="J621" s="1" t="s">
        <v>78</v>
      </c>
    </row>
    <row r="622" spans="1:10" ht="13.8" x14ac:dyDescent="0.25">
      <c r="A622" t="s">
        <v>668</v>
      </c>
      <c r="B622" s="8">
        <v>16</v>
      </c>
      <c r="C622" s="9" t="s">
        <v>11</v>
      </c>
      <c r="D622" s="9" t="s">
        <v>12</v>
      </c>
      <c r="E622" s="1">
        <v>45043</v>
      </c>
      <c r="F622" s="9" t="s">
        <v>26</v>
      </c>
      <c r="G622" s="11">
        <v>18468</v>
      </c>
      <c r="H622" s="8">
        <v>57</v>
      </c>
      <c r="I622" s="8">
        <v>2</v>
      </c>
      <c r="J622" s="1" t="s">
        <v>80</v>
      </c>
    </row>
    <row r="623" spans="1:10" ht="13.8" x14ac:dyDescent="0.25">
      <c r="A623" t="s">
        <v>669</v>
      </c>
      <c r="B623" s="8">
        <v>25</v>
      </c>
      <c r="C623" s="9" t="s">
        <v>11</v>
      </c>
      <c r="D623" s="9" t="s">
        <v>52</v>
      </c>
      <c r="E623" s="1">
        <v>45447</v>
      </c>
      <c r="F623" s="9" t="s">
        <v>53</v>
      </c>
      <c r="G623" s="11">
        <v>24526</v>
      </c>
      <c r="H623" s="8">
        <v>93</v>
      </c>
      <c r="I623" s="8">
        <v>3</v>
      </c>
      <c r="J623" s="1" t="s">
        <v>42</v>
      </c>
    </row>
    <row r="624" spans="1:10" ht="13.8" x14ac:dyDescent="0.25">
      <c r="A624" t="s">
        <v>670</v>
      </c>
      <c r="B624" s="8">
        <v>16</v>
      </c>
      <c r="C624" s="9" t="s">
        <v>16</v>
      </c>
      <c r="D624" s="9" t="s">
        <v>62</v>
      </c>
      <c r="E624" s="1">
        <v>45148</v>
      </c>
      <c r="F624" s="9" t="s">
        <v>18</v>
      </c>
      <c r="G624" s="11">
        <v>26919</v>
      </c>
      <c r="H624" s="8">
        <v>70</v>
      </c>
      <c r="I624" s="8">
        <v>2</v>
      </c>
      <c r="J624" s="1" t="s">
        <v>30</v>
      </c>
    </row>
    <row r="625" spans="1:10" ht="13.8" x14ac:dyDescent="0.25">
      <c r="A625" t="s">
        <v>671</v>
      </c>
      <c r="B625" s="8">
        <v>18</v>
      </c>
      <c r="C625" s="9" t="s">
        <v>11</v>
      </c>
      <c r="D625" s="9" t="s">
        <v>52</v>
      </c>
      <c r="E625" s="1">
        <v>45359</v>
      </c>
      <c r="F625" s="9" t="s">
        <v>18</v>
      </c>
      <c r="G625" s="11">
        <v>49196</v>
      </c>
      <c r="H625" s="8">
        <v>63</v>
      </c>
      <c r="I625" s="8">
        <v>3</v>
      </c>
      <c r="J625" s="1" t="s">
        <v>48</v>
      </c>
    </row>
    <row r="626" spans="1:10" ht="13.8" x14ac:dyDescent="0.25">
      <c r="A626" t="s">
        <v>672</v>
      </c>
      <c r="B626" s="8">
        <v>22</v>
      </c>
      <c r="C626" s="9" t="s">
        <v>16</v>
      </c>
      <c r="D626" s="9" t="s">
        <v>12</v>
      </c>
      <c r="E626" s="1">
        <v>45508</v>
      </c>
      <c r="F626" s="9" t="s">
        <v>53</v>
      </c>
      <c r="G626" s="11">
        <v>505</v>
      </c>
      <c r="H626" s="8">
        <v>88</v>
      </c>
      <c r="I626" s="8">
        <v>4</v>
      </c>
      <c r="J626" s="1" t="s">
        <v>33</v>
      </c>
    </row>
    <row r="627" spans="1:10" ht="13.8" x14ac:dyDescent="0.25">
      <c r="A627" t="s">
        <v>673</v>
      </c>
      <c r="B627" s="8">
        <v>27</v>
      </c>
      <c r="C627" s="9" t="s">
        <v>11</v>
      </c>
      <c r="D627" s="9" t="s">
        <v>12</v>
      </c>
      <c r="E627" s="1">
        <v>44961</v>
      </c>
      <c r="F627" s="9" t="s">
        <v>22</v>
      </c>
      <c r="G627" s="11">
        <v>15645</v>
      </c>
      <c r="H627" s="8">
        <v>55</v>
      </c>
      <c r="I627" s="8">
        <v>0</v>
      </c>
      <c r="J627" s="1" t="s">
        <v>126</v>
      </c>
    </row>
    <row r="628" spans="1:10" ht="13.8" x14ac:dyDescent="0.25">
      <c r="A628" t="s">
        <v>674</v>
      </c>
      <c r="B628" s="8">
        <v>42</v>
      </c>
      <c r="C628" s="9" t="s">
        <v>11</v>
      </c>
      <c r="D628" s="9" t="s">
        <v>62</v>
      </c>
      <c r="E628" s="1">
        <v>45061</v>
      </c>
      <c r="F628" s="9" t="s">
        <v>18</v>
      </c>
      <c r="G628" s="11">
        <v>17013</v>
      </c>
      <c r="H628" s="8">
        <v>94</v>
      </c>
      <c r="I628" s="8">
        <v>5</v>
      </c>
      <c r="J628" s="1" t="s">
        <v>35</v>
      </c>
    </row>
    <row r="629" spans="1:10" ht="13.8" x14ac:dyDescent="0.25">
      <c r="A629" t="s">
        <v>675</v>
      </c>
      <c r="B629" s="8">
        <v>61</v>
      </c>
      <c r="C629" s="9" t="s">
        <v>11</v>
      </c>
      <c r="D629" s="9" t="s">
        <v>17</v>
      </c>
      <c r="E629" s="1">
        <v>45517</v>
      </c>
      <c r="F629" s="9" t="s">
        <v>26</v>
      </c>
      <c r="G629" s="11">
        <v>20772</v>
      </c>
      <c r="H629" s="8">
        <v>43</v>
      </c>
      <c r="I629" s="8">
        <v>1</v>
      </c>
      <c r="J629" s="1" t="s">
        <v>33</v>
      </c>
    </row>
    <row r="630" spans="1:10" ht="13.8" x14ac:dyDescent="0.25">
      <c r="A630" t="s">
        <v>676</v>
      </c>
      <c r="B630" s="8">
        <v>6</v>
      </c>
      <c r="C630" s="9" t="s">
        <v>16</v>
      </c>
      <c r="D630" s="9" t="s">
        <v>21</v>
      </c>
      <c r="E630" s="1">
        <v>45452</v>
      </c>
      <c r="F630" s="9" t="s">
        <v>26</v>
      </c>
      <c r="G630" s="11">
        <v>14520</v>
      </c>
      <c r="H630" s="8">
        <v>75</v>
      </c>
      <c r="I630" s="8">
        <v>2</v>
      </c>
      <c r="J630" s="1" t="s">
        <v>42</v>
      </c>
    </row>
    <row r="631" spans="1:10" ht="13.8" x14ac:dyDescent="0.25">
      <c r="A631" t="s">
        <v>677</v>
      </c>
      <c r="B631" s="8">
        <v>2</v>
      </c>
      <c r="C631" s="9" t="s">
        <v>16</v>
      </c>
      <c r="D631" s="9" t="s">
        <v>52</v>
      </c>
      <c r="E631" s="1">
        <v>45198</v>
      </c>
      <c r="F631" s="9" t="s">
        <v>22</v>
      </c>
      <c r="G631" s="11">
        <v>29477</v>
      </c>
      <c r="H631" s="8">
        <v>48</v>
      </c>
      <c r="I631" s="8">
        <v>1</v>
      </c>
      <c r="J631" s="1" t="s">
        <v>109</v>
      </c>
    </row>
    <row r="632" spans="1:10" ht="13.8" x14ac:dyDescent="0.25">
      <c r="A632" t="s">
        <v>678</v>
      </c>
      <c r="B632" s="8">
        <v>68</v>
      </c>
      <c r="C632" s="9" t="s">
        <v>16</v>
      </c>
      <c r="D632" s="9" t="s">
        <v>12</v>
      </c>
      <c r="E632" s="1">
        <v>45542</v>
      </c>
      <c r="F632" s="9" t="s">
        <v>53</v>
      </c>
      <c r="G632" s="11">
        <v>13457</v>
      </c>
      <c r="H632" s="8">
        <v>73</v>
      </c>
      <c r="I632" s="8">
        <v>3</v>
      </c>
      <c r="J632" s="1" t="s">
        <v>45</v>
      </c>
    </row>
    <row r="633" spans="1:10" ht="13.8" x14ac:dyDescent="0.25">
      <c r="A633" t="s">
        <v>679</v>
      </c>
      <c r="B633" s="8">
        <v>19</v>
      </c>
      <c r="C633" s="9" t="s">
        <v>11</v>
      </c>
      <c r="D633" s="9" t="s">
        <v>12</v>
      </c>
      <c r="E633" s="1">
        <v>44948</v>
      </c>
      <c r="F633" s="9" t="s">
        <v>13</v>
      </c>
      <c r="G633" s="11">
        <v>49816</v>
      </c>
      <c r="H633" s="8">
        <v>41</v>
      </c>
      <c r="I633" s="8">
        <v>1</v>
      </c>
      <c r="J633" s="1" t="s">
        <v>95</v>
      </c>
    </row>
    <row r="634" spans="1:10" ht="13.8" x14ac:dyDescent="0.25">
      <c r="A634" t="s">
        <v>680</v>
      </c>
      <c r="B634" s="8">
        <v>56</v>
      </c>
      <c r="C634" s="9" t="s">
        <v>16</v>
      </c>
      <c r="D634" s="9" t="s">
        <v>25</v>
      </c>
      <c r="E634" s="1">
        <v>45550</v>
      </c>
      <c r="F634" s="9" t="s">
        <v>13</v>
      </c>
      <c r="G634" s="11">
        <v>11727</v>
      </c>
      <c r="H634" s="8">
        <v>97</v>
      </c>
      <c r="I634" s="8">
        <v>5</v>
      </c>
      <c r="J634" s="1" t="s">
        <v>45</v>
      </c>
    </row>
    <row r="635" spans="1:10" ht="13.8" x14ac:dyDescent="0.25">
      <c r="A635" t="s">
        <v>681</v>
      </c>
      <c r="B635" s="8">
        <v>80</v>
      </c>
      <c r="C635" s="9" t="s">
        <v>11</v>
      </c>
      <c r="D635" s="9" t="s">
        <v>17</v>
      </c>
      <c r="E635" s="1">
        <v>44965</v>
      </c>
      <c r="F635" s="9" t="s">
        <v>29</v>
      </c>
      <c r="G635" s="11">
        <v>7672</v>
      </c>
      <c r="H635" s="8">
        <v>100</v>
      </c>
      <c r="I635" s="8">
        <v>0</v>
      </c>
      <c r="J635" s="1" t="s">
        <v>126</v>
      </c>
    </row>
    <row r="636" spans="1:10" ht="13.8" x14ac:dyDescent="0.25">
      <c r="A636" t="s">
        <v>682</v>
      </c>
      <c r="B636" s="8">
        <v>20</v>
      </c>
      <c r="C636" s="9" t="s">
        <v>11</v>
      </c>
      <c r="D636" s="9" t="s">
        <v>21</v>
      </c>
      <c r="E636" s="1">
        <v>45557</v>
      </c>
      <c r="F636" s="9" t="s">
        <v>26</v>
      </c>
      <c r="G636" s="11">
        <v>44669</v>
      </c>
      <c r="H636" s="8">
        <v>65</v>
      </c>
      <c r="I636" s="8">
        <v>5</v>
      </c>
      <c r="J636" s="1" t="s">
        <v>45</v>
      </c>
    </row>
    <row r="637" spans="1:10" ht="13.8" x14ac:dyDescent="0.25">
      <c r="A637" t="s">
        <v>683</v>
      </c>
      <c r="B637" s="8">
        <v>41</v>
      </c>
      <c r="C637" s="9" t="s">
        <v>11</v>
      </c>
      <c r="D637" s="9" t="s">
        <v>62</v>
      </c>
      <c r="E637" s="1">
        <v>45067</v>
      </c>
      <c r="F637" s="9" t="s">
        <v>13</v>
      </c>
      <c r="G637" s="11">
        <v>16944</v>
      </c>
      <c r="H637" s="8">
        <v>41</v>
      </c>
      <c r="I637" s="8">
        <v>0</v>
      </c>
      <c r="J637" s="1" t="s">
        <v>35</v>
      </c>
    </row>
    <row r="638" spans="1:10" ht="13.8" x14ac:dyDescent="0.25">
      <c r="A638" t="s">
        <v>684</v>
      </c>
      <c r="B638" s="8">
        <v>43</v>
      </c>
      <c r="C638" s="9" t="s">
        <v>11</v>
      </c>
      <c r="D638" s="9" t="s">
        <v>52</v>
      </c>
      <c r="E638" s="1">
        <v>45614</v>
      </c>
      <c r="F638" s="9" t="s">
        <v>29</v>
      </c>
      <c r="G638" s="11">
        <v>39541</v>
      </c>
      <c r="H638" s="8">
        <v>96</v>
      </c>
      <c r="I638" s="8">
        <v>4</v>
      </c>
      <c r="J638" s="1" t="s">
        <v>54</v>
      </c>
    </row>
    <row r="639" spans="1:10" ht="13.8" x14ac:dyDescent="0.25">
      <c r="A639" t="s">
        <v>685</v>
      </c>
      <c r="B639" s="8">
        <v>53</v>
      </c>
      <c r="C639" s="9" t="s">
        <v>16</v>
      </c>
      <c r="D639" s="9" t="s">
        <v>25</v>
      </c>
      <c r="E639" s="1">
        <v>45469</v>
      </c>
      <c r="F639" s="9" t="s">
        <v>13</v>
      </c>
      <c r="G639" s="11">
        <v>1054</v>
      </c>
      <c r="H639" s="8">
        <v>97</v>
      </c>
      <c r="I639" s="8">
        <v>0</v>
      </c>
      <c r="J639" s="1" t="s">
        <v>42</v>
      </c>
    </row>
    <row r="640" spans="1:10" ht="13.8" x14ac:dyDescent="0.25">
      <c r="A640" t="s">
        <v>686</v>
      </c>
      <c r="B640" s="8">
        <v>61</v>
      </c>
      <c r="C640" s="9" t="s">
        <v>11</v>
      </c>
      <c r="D640" s="9" t="s">
        <v>62</v>
      </c>
      <c r="E640" s="1">
        <v>45110</v>
      </c>
      <c r="F640" s="9" t="s">
        <v>18</v>
      </c>
      <c r="G640" s="11">
        <v>18037</v>
      </c>
      <c r="H640" s="8">
        <v>87</v>
      </c>
      <c r="I640" s="8">
        <v>2</v>
      </c>
      <c r="J640" s="1" t="s">
        <v>78</v>
      </c>
    </row>
    <row r="641" spans="1:10" ht="13.8" x14ac:dyDescent="0.25">
      <c r="A641" t="s">
        <v>687</v>
      </c>
      <c r="B641" s="8">
        <v>8</v>
      </c>
      <c r="C641" s="9" t="s">
        <v>16</v>
      </c>
      <c r="D641" s="9" t="s">
        <v>21</v>
      </c>
      <c r="E641" s="1">
        <v>45099</v>
      </c>
      <c r="F641" s="9" t="s">
        <v>29</v>
      </c>
      <c r="G641" s="11">
        <v>41025</v>
      </c>
      <c r="H641" s="8">
        <v>40</v>
      </c>
      <c r="I641" s="8">
        <v>4</v>
      </c>
      <c r="J641" s="1" t="s">
        <v>38</v>
      </c>
    </row>
    <row r="642" spans="1:10" ht="13.8" x14ac:dyDescent="0.25">
      <c r="A642" t="s">
        <v>688</v>
      </c>
      <c r="B642" s="8">
        <v>73</v>
      </c>
      <c r="C642" s="9" t="s">
        <v>16</v>
      </c>
      <c r="D642" s="9" t="s">
        <v>21</v>
      </c>
      <c r="E642" s="1">
        <v>45495</v>
      </c>
      <c r="F642" s="9" t="s">
        <v>53</v>
      </c>
      <c r="G642" s="11">
        <v>21537</v>
      </c>
      <c r="H642" s="8">
        <v>62</v>
      </c>
      <c r="I642" s="8">
        <v>2</v>
      </c>
      <c r="J642" s="1" t="s">
        <v>19</v>
      </c>
    </row>
    <row r="643" spans="1:10" ht="13.8" x14ac:dyDescent="0.25">
      <c r="A643" t="s">
        <v>689</v>
      </c>
      <c r="B643" s="8">
        <v>22</v>
      </c>
      <c r="C643" s="9" t="s">
        <v>11</v>
      </c>
      <c r="D643" s="9" t="s">
        <v>17</v>
      </c>
      <c r="E643" s="1">
        <v>45614</v>
      </c>
      <c r="F643" s="9" t="s">
        <v>22</v>
      </c>
      <c r="G643" s="11">
        <v>39390</v>
      </c>
      <c r="H643" s="8">
        <v>90</v>
      </c>
      <c r="I643" s="8">
        <v>4</v>
      </c>
      <c r="J643" s="1" t="s">
        <v>54</v>
      </c>
    </row>
    <row r="644" spans="1:10" ht="13.8" x14ac:dyDescent="0.25">
      <c r="A644" t="s">
        <v>690</v>
      </c>
      <c r="B644" s="8">
        <v>84</v>
      </c>
      <c r="C644" s="9" t="s">
        <v>11</v>
      </c>
      <c r="D644" s="9" t="s">
        <v>12</v>
      </c>
      <c r="E644" s="1">
        <v>45329</v>
      </c>
      <c r="F644" s="9" t="s">
        <v>13</v>
      </c>
      <c r="G644" s="11">
        <v>10992</v>
      </c>
      <c r="H644" s="8">
        <v>48</v>
      </c>
      <c r="I644" s="8">
        <v>5</v>
      </c>
      <c r="J644" s="1" t="s">
        <v>14</v>
      </c>
    </row>
    <row r="645" spans="1:10" ht="13.8" x14ac:dyDescent="0.25">
      <c r="A645" t="s">
        <v>691</v>
      </c>
      <c r="B645" s="8">
        <v>13</v>
      </c>
      <c r="C645" s="9" t="s">
        <v>16</v>
      </c>
      <c r="D645" s="9" t="s">
        <v>21</v>
      </c>
      <c r="E645" s="1">
        <v>45145</v>
      </c>
      <c r="F645" s="9" t="s">
        <v>29</v>
      </c>
      <c r="G645" s="11">
        <v>7774</v>
      </c>
      <c r="H645" s="8">
        <v>99</v>
      </c>
      <c r="I645" s="8">
        <v>0</v>
      </c>
      <c r="J645" s="1" t="s">
        <v>30</v>
      </c>
    </row>
    <row r="646" spans="1:10" ht="13.8" x14ac:dyDescent="0.25">
      <c r="A646" t="s">
        <v>692</v>
      </c>
      <c r="B646" s="8">
        <v>82</v>
      </c>
      <c r="C646" s="9" t="s">
        <v>16</v>
      </c>
      <c r="D646" s="9" t="s">
        <v>12</v>
      </c>
      <c r="E646" s="1">
        <v>45275</v>
      </c>
      <c r="F646" s="9" t="s">
        <v>53</v>
      </c>
      <c r="G646" s="11">
        <v>19434</v>
      </c>
      <c r="H646" s="8">
        <v>95</v>
      </c>
      <c r="I646" s="8">
        <v>5</v>
      </c>
      <c r="J646" s="1" t="s">
        <v>57</v>
      </c>
    </row>
    <row r="647" spans="1:10" ht="13.8" x14ac:dyDescent="0.25">
      <c r="A647" t="s">
        <v>693</v>
      </c>
      <c r="B647" s="8">
        <v>11</v>
      </c>
      <c r="C647" s="9" t="s">
        <v>11</v>
      </c>
      <c r="D647" s="9" t="s">
        <v>21</v>
      </c>
      <c r="E647" s="1">
        <v>45081</v>
      </c>
      <c r="F647" s="9" t="s">
        <v>53</v>
      </c>
      <c r="G647" s="11">
        <v>5918</v>
      </c>
      <c r="H647" s="8">
        <v>86</v>
      </c>
      <c r="I647" s="8">
        <v>1</v>
      </c>
      <c r="J647" s="1" t="s">
        <v>38</v>
      </c>
    </row>
    <row r="648" spans="1:10" ht="13.8" x14ac:dyDescent="0.25">
      <c r="A648" t="s">
        <v>694</v>
      </c>
      <c r="B648" s="8">
        <v>1</v>
      </c>
      <c r="C648" s="9" t="s">
        <v>11</v>
      </c>
      <c r="D648" s="9" t="s">
        <v>12</v>
      </c>
      <c r="E648" s="1">
        <v>45187</v>
      </c>
      <c r="F648" s="9" t="s">
        <v>22</v>
      </c>
      <c r="G648" s="11">
        <v>47786</v>
      </c>
      <c r="H648" s="8">
        <v>53</v>
      </c>
      <c r="I648" s="8">
        <v>3</v>
      </c>
      <c r="J648" s="1" t="s">
        <v>109</v>
      </c>
    </row>
    <row r="649" spans="1:10" ht="13.8" x14ac:dyDescent="0.25">
      <c r="A649" t="s">
        <v>695</v>
      </c>
      <c r="B649" s="8">
        <v>89</v>
      </c>
      <c r="C649" s="9" t="s">
        <v>11</v>
      </c>
      <c r="D649" s="9" t="s">
        <v>12</v>
      </c>
      <c r="E649" s="1">
        <v>45373</v>
      </c>
      <c r="F649" s="9" t="s">
        <v>29</v>
      </c>
      <c r="G649" s="11">
        <v>34071</v>
      </c>
      <c r="H649" s="8">
        <v>73</v>
      </c>
      <c r="I649" s="8">
        <v>1</v>
      </c>
      <c r="J649" s="1" t="s">
        <v>48</v>
      </c>
    </row>
    <row r="650" spans="1:10" ht="13.8" x14ac:dyDescent="0.25">
      <c r="A650" t="s">
        <v>696</v>
      </c>
      <c r="B650" s="8">
        <v>4</v>
      </c>
      <c r="C650" s="9" t="s">
        <v>11</v>
      </c>
      <c r="D650" s="9" t="s">
        <v>25</v>
      </c>
      <c r="E650" s="1">
        <v>45627</v>
      </c>
      <c r="F650" s="9" t="s">
        <v>18</v>
      </c>
      <c r="G650" s="11">
        <v>8629</v>
      </c>
      <c r="H650" s="8">
        <v>73</v>
      </c>
      <c r="I650" s="8">
        <v>3</v>
      </c>
      <c r="J650" s="1" t="s">
        <v>537</v>
      </c>
    </row>
    <row r="651" spans="1:10" ht="13.8" x14ac:dyDescent="0.25">
      <c r="A651" t="s">
        <v>697</v>
      </c>
      <c r="B651" s="8">
        <v>36</v>
      </c>
      <c r="C651" s="9" t="s">
        <v>11</v>
      </c>
      <c r="D651" s="9" t="s">
        <v>17</v>
      </c>
      <c r="E651" s="1">
        <v>44949</v>
      </c>
      <c r="F651" s="9" t="s">
        <v>18</v>
      </c>
      <c r="G651" s="11">
        <v>4713</v>
      </c>
      <c r="H651" s="8">
        <v>48</v>
      </c>
      <c r="I651" s="8">
        <v>4</v>
      </c>
      <c r="J651" s="1" t="s">
        <v>95</v>
      </c>
    </row>
    <row r="652" spans="1:10" ht="13.8" x14ac:dyDescent="0.25">
      <c r="A652" t="s">
        <v>698</v>
      </c>
      <c r="B652" s="8">
        <v>57</v>
      </c>
      <c r="C652" s="9" t="s">
        <v>11</v>
      </c>
      <c r="D652" s="9" t="s">
        <v>12</v>
      </c>
      <c r="E652" s="1">
        <v>45117</v>
      </c>
      <c r="F652" s="9" t="s">
        <v>29</v>
      </c>
      <c r="G652" s="11">
        <v>38389</v>
      </c>
      <c r="H652" s="8">
        <v>83</v>
      </c>
      <c r="I652" s="8">
        <v>3</v>
      </c>
      <c r="J652" s="1" t="s">
        <v>78</v>
      </c>
    </row>
    <row r="653" spans="1:10" ht="13.8" x14ac:dyDescent="0.25">
      <c r="A653" t="s">
        <v>699</v>
      </c>
      <c r="B653" s="8">
        <v>50</v>
      </c>
      <c r="C653" s="9" t="s">
        <v>16</v>
      </c>
      <c r="D653" s="9" t="s">
        <v>21</v>
      </c>
      <c r="E653" s="1">
        <v>45232</v>
      </c>
      <c r="F653" s="9" t="s">
        <v>26</v>
      </c>
      <c r="G653" s="11">
        <v>4039</v>
      </c>
      <c r="H653" s="8">
        <v>99</v>
      </c>
      <c r="I653" s="8">
        <v>0</v>
      </c>
      <c r="J653" s="1" t="s">
        <v>40</v>
      </c>
    </row>
    <row r="654" spans="1:10" ht="13.8" x14ac:dyDescent="0.25">
      <c r="A654" t="s">
        <v>700</v>
      </c>
      <c r="B654" s="8">
        <v>70</v>
      </c>
      <c r="C654" s="9" t="s">
        <v>11</v>
      </c>
      <c r="D654" s="9" t="s">
        <v>52</v>
      </c>
      <c r="E654" s="1">
        <v>45459</v>
      </c>
      <c r="F654" s="9" t="s">
        <v>26</v>
      </c>
      <c r="G654" s="11">
        <v>983</v>
      </c>
      <c r="H654" s="8">
        <v>89</v>
      </c>
      <c r="I654" s="8">
        <v>3</v>
      </c>
      <c r="J654" s="1" t="s">
        <v>42</v>
      </c>
    </row>
    <row r="655" spans="1:10" ht="13.8" x14ac:dyDescent="0.25">
      <c r="A655" t="s">
        <v>701</v>
      </c>
      <c r="B655" s="8">
        <v>87</v>
      </c>
      <c r="C655" s="9" t="s">
        <v>11</v>
      </c>
      <c r="D655" s="9" t="s">
        <v>17</v>
      </c>
      <c r="E655" s="1">
        <v>45340</v>
      </c>
      <c r="F655" s="9" t="s">
        <v>13</v>
      </c>
      <c r="G655" s="11">
        <v>22146</v>
      </c>
      <c r="H655" s="8">
        <v>80</v>
      </c>
      <c r="I655" s="8">
        <v>3</v>
      </c>
      <c r="J655" s="1" t="s">
        <v>14</v>
      </c>
    </row>
    <row r="656" spans="1:10" ht="13.8" x14ac:dyDescent="0.25">
      <c r="A656" t="s">
        <v>702</v>
      </c>
      <c r="B656" s="8">
        <v>20</v>
      </c>
      <c r="C656" s="9" t="s">
        <v>16</v>
      </c>
      <c r="D656" s="9" t="s">
        <v>12</v>
      </c>
      <c r="E656" s="1">
        <v>45137</v>
      </c>
      <c r="F656" s="9" t="s">
        <v>22</v>
      </c>
      <c r="G656" s="11">
        <v>3069</v>
      </c>
      <c r="H656" s="8">
        <v>63</v>
      </c>
      <c r="I656" s="8">
        <v>0</v>
      </c>
      <c r="J656" s="1" t="s">
        <v>78</v>
      </c>
    </row>
    <row r="657" spans="1:10" ht="13.8" x14ac:dyDescent="0.25">
      <c r="A657" t="s">
        <v>703</v>
      </c>
      <c r="B657" s="8">
        <v>55</v>
      </c>
      <c r="C657" s="9" t="s">
        <v>16</v>
      </c>
      <c r="D657" s="9" t="s">
        <v>21</v>
      </c>
      <c r="E657" s="1">
        <v>45538</v>
      </c>
      <c r="F657" s="9" t="s">
        <v>22</v>
      </c>
      <c r="G657" s="11">
        <v>26206</v>
      </c>
      <c r="H657" s="8">
        <v>41</v>
      </c>
      <c r="I657" s="8">
        <v>0</v>
      </c>
      <c r="J657" s="1" t="s">
        <v>45</v>
      </c>
    </row>
    <row r="658" spans="1:10" ht="13.8" x14ac:dyDescent="0.25">
      <c r="A658" t="s">
        <v>704</v>
      </c>
      <c r="B658" s="8">
        <v>66</v>
      </c>
      <c r="C658" s="9" t="s">
        <v>16</v>
      </c>
      <c r="D658" s="9" t="s">
        <v>21</v>
      </c>
      <c r="E658" s="1">
        <v>45481</v>
      </c>
      <c r="F658" s="9" t="s">
        <v>22</v>
      </c>
      <c r="G658" s="11">
        <v>24901</v>
      </c>
      <c r="H658" s="8">
        <v>90</v>
      </c>
      <c r="I658" s="8">
        <v>3</v>
      </c>
      <c r="J658" s="1" t="s">
        <v>19</v>
      </c>
    </row>
    <row r="659" spans="1:10" ht="13.8" x14ac:dyDescent="0.25">
      <c r="A659" t="s">
        <v>705</v>
      </c>
      <c r="B659" s="8">
        <v>62</v>
      </c>
      <c r="C659" s="9" t="s">
        <v>16</v>
      </c>
      <c r="D659" s="9" t="s">
        <v>62</v>
      </c>
      <c r="E659" s="1">
        <v>45081</v>
      </c>
      <c r="F659" s="9" t="s">
        <v>26</v>
      </c>
      <c r="G659" s="11">
        <v>38183</v>
      </c>
      <c r="H659" s="8">
        <v>81</v>
      </c>
      <c r="I659" s="8">
        <v>5</v>
      </c>
      <c r="J659" s="1" t="s">
        <v>38</v>
      </c>
    </row>
    <row r="660" spans="1:10" ht="13.8" x14ac:dyDescent="0.25">
      <c r="A660" t="s">
        <v>706</v>
      </c>
      <c r="B660" s="8">
        <v>13</v>
      </c>
      <c r="C660" s="9" t="s">
        <v>11</v>
      </c>
      <c r="D660" s="9" t="s">
        <v>17</v>
      </c>
      <c r="E660" s="1">
        <v>45415</v>
      </c>
      <c r="F660" s="9" t="s">
        <v>22</v>
      </c>
      <c r="G660" s="11">
        <v>22352</v>
      </c>
      <c r="H660" s="8">
        <v>74</v>
      </c>
      <c r="I660" s="8">
        <v>5</v>
      </c>
      <c r="J660" s="1" t="s">
        <v>66</v>
      </c>
    </row>
    <row r="661" spans="1:10" ht="13.8" x14ac:dyDescent="0.25">
      <c r="A661" t="s">
        <v>707</v>
      </c>
      <c r="B661" s="8">
        <v>65</v>
      </c>
      <c r="C661" s="9" t="s">
        <v>16</v>
      </c>
      <c r="D661" s="9" t="s">
        <v>25</v>
      </c>
      <c r="E661" s="1">
        <v>45445</v>
      </c>
      <c r="F661" s="9" t="s">
        <v>22</v>
      </c>
      <c r="G661" s="11">
        <v>18549</v>
      </c>
      <c r="H661" s="8">
        <v>98</v>
      </c>
      <c r="I661" s="8">
        <v>4</v>
      </c>
      <c r="J661" s="1" t="s">
        <v>42</v>
      </c>
    </row>
    <row r="662" spans="1:10" ht="13.8" x14ac:dyDescent="0.25">
      <c r="A662" t="s">
        <v>708</v>
      </c>
      <c r="B662" s="8">
        <v>11</v>
      </c>
      <c r="C662" s="9" t="s">
        <v>11</v>
      </c>
      <c r="D662" s="9" t="s">
        <v>12</v>
      </c>
      <c r="E662" s="1">
        <v>45386</v>
      </c>
      <c r="F662" s="9" t="s">
        <v>26</v>
      </c>
      <c r="G662" s="11">
        <v>36784</v>
      </c>
      <c r="H662" s="8">
        <v>85</v>
      </c>
      <c r="I662" s="8">
        <v>3</v>
      </c>
      <c r="J662" s="1" t="s">
        <v>50</v>
      </c>
    </row>
    <row r="663" spans="1:10" ht="13.8" x14ac:dyDescent="0.25">
      <c r="A663" t="s">
        <v>709</v>
      </c>
      <c r="B663" s="8">
        <v>17</v>
      </c>
      <c r="C663" s="9" t="s">
        <v>11</v>
      </c>
      <c r="D663" s="9" t="s">
        <v>21</v>
      </c>
      <c r="E663" s="1">
        <v>45466</v>
      </c>
      <c r="F663" s="9" t="s">
        <v>29</v>
      </c>
      <c r="G663" s="11">
        <v>1712</v>
      </c>
      <c r="H663" s="8">
        <v>65</v>
      </c>
      <c r="I663" s="8">
        <v>1</v>
      </c>
      <c r="J663" s="1" t="s">
        <v>42</v>
      </c>
    </row>
    <row r="664" spans="1:10" ht="13.8" x14ac:dyDescent="0.25">
      <c r="A664" t="s">
        <v>710</v>
      </c>
      <c r="B664" s="8">
        <v>21</v>
      </c>
      <c r="C664" s="9" t="s">
        <v>16</v>
      </c>
      <c r="D664" s="9" t="s">
        <v>52</v>
      </c>
      <c r="E664" s="1">
        <v>45408</v>
      </c>
      <c r="F664" s="9" t="s">
        <v>29</v>
      </c>
      <c r="G664" s="11">
        <v>32375</v>
      </c>
      <c r="H664" s="8">
        <v>50</v>
      </c>
      <c r="I664" s="8">
        <v>3</v>
      </c>
      <c r="J664" s="1" t="s">
        <v>50</v>
      </c>
    </row>
    <row r="665" spans="1:10" ht="13.8" x14ac:dyDescent="0.25">
      <c r="A665" t="s">
        <v>711</v>
      </c>
      <c r="B665" s="8">
        <v>42</v>
      </c>
      <c r="C665" s="9" t="s">
        <v>16</v>
      </c>
      <c r="D665" s="9" t="s">
        <v>52</v>
      </c>
      <c r="E665" s="1">
        <v>45050</v>
      </c>
      <c r="F665" s="9" t="s">
        <v>53</v>
      </c>
      <c r="G665" s="11">
        <v>11371</v>
      </c>
      <c r="H665" s="8">
        <v>77</v>
      </c>
      <c r="I665" s="8">
        <v>3</v>
      </c>
      <c r="J665" s="1" t="s">
        <v>35</v>
      </c>
    </row>
    <row r="666" spans="1:10" ht="13.8" x14ac:dyDescent="0.25">
      <c r="A666" t="s">
        <v>712</v>
      </c>
      <c r="B666" s="8">
        <v>66</v>
      </c>
      <c r="C666" s="9" t="s">
        <v>16</v>
      </c>
      <c r="D666" s="9" t="s">
        <v>62</v>
      </c>
      <c r="E666" s="1">
        <v>45078</v>
      </c>
      <c r="F666" s="9" t="s">
        <v>18</v>
      </c>
      <c r="G666" s="11">
        <v>44086</v>
      </c>
      <c r="H666" s="8">
        <v>41</v>
      </c>
      <c r="I666" s="8">
        <v>4</v>
      </c>
      <c r="J666" s="1" t="s">
        <v>38</v>
      </c>
    </row>
    <row r="667" spans="1:10" ht="13.8" x14ac:dyDescent="0.25">
      <c r="A667" t="s">
        <v>713</v>
      </c>
      <c r="B667" s="8">
        <v>11</v>
      </c>
      <c r="C667" s="9" t="s">
        <v>11</v>
      </c>
      <c r="D667" s="9" t="s">
        <v>62</v>
      </c>
      <c r="E667" s="1">
        <v>45109</v>
      </c>
      <c r="F667" s="9" t="s">
        <v>26</v>
      </c>
      <c r="G667" s="11">
        <v>14493</v>
      </c>
      <c r="H667" s="8">
        <v>95</v>
      </c>
      <c r="I667" s="8">
        <v>2</v>
      </c>
      <c r="J667" s="1" t="s">
        <v>78</v>
      </c>
    </row>
    <row r="668" spans="1:10" ht="13.8" x14ac:dyDescent="0.25">
      <c r="A668" t="s">
        <v>714</v>
      </c>
      <c r="B668" s="8">
        <v>88</v>
      </c>
      <c r="C668" s="9" t="s">
        <v>16</v>
      </c>
      <c r="D668" s="9" t="s">
        <v>17</v>
      </c>
      <c r="E668" s="1">
        <v>45309</v>
      </c>
      <c r="F668" s="9" t="s">
        <v>22</v>
      </c>
      <c r="G668" s="11">
        <v>10208</v>
      </c>
      <c r="H668" s="8">
        <v>69</v>
      </c>
      <c r="I668" s="8">
        <v>0</v>
      </c>
      <c r="J668" s="1" t="s">
        <v>23</v>
      </c>
    </row>
    <row r="669" spans="1:10" ht="13.8" x14ac:dyDescent="0.25">
      <c r="A669" t="s">
        <v>715</v>
      </c>
      <c r="B669" s="8">
        <v>58</v>
      </c>
      <c r="C669" s="9" t="s">
        <v>16</v>
      </c>
      <c r="D669" s="9" t="s">
        <v>52</v>
      </c>
      <c r="E669" s="1">
        <v>45129</v>
      </c>
      <c r="F669" s="9" t="s">
        <v>13</v>
      </c>
      <c r="G669" s="11">
        <v>1967</v>
      </c>
      <c r="H669" s="8">
        <v>68</v>
      </c>
      <c r="I669" s="8">
        <v>1</v>
      </c>
      <c r="J669" s="1" t="s">
        <v>78</v>
      </c>
    </row>
    <row r="670" spans="1:10" ht="13.8" x14ac:dyDescent="0.25">
      <c r="A670" t="s">
        <v>716</v>
      </c>
      <c r="B670" s="8">
        <v>14</v>
      </c>
      <c r="C670" s="9" t="s">
        <v>11</v>
      </c>
      <c r="D670" s="9" t="s">
        <v>17</v>
      </c>
      <c r="E670" s="1">
        <v>45238</v>
      </c>
      <c r="F670" s="9" t="s">
        <v>29</v>
      </c>
      <c r="G670" s="11">
        <v>28945</v>
      </c>
      <c r="H670" s="8">
        <v>90</v>
      </c>
      <c r="I670" s="8">
        <v>4</v>
      </c>
      <c r="J670" s="1" t="s">
        <v>40</v>
      </c>
    </row>
    <row r="671" spans="1:10" ht="13.8" x14ac:dyDescent="0.25">
      <c r="A671" t="s">
        <v>717</v>
      </c>
      <c r="B671" s="8">
        <v>52</v>
      </c>
      <c r="C671" s="9" t="s">
        <v>11</v>
      </c>
      <c r="D671" s="9" t="s">
        <v>17</v>
      </c>
      <c r="E671" s="1">
        <v>45316</v>
      </c>
      <c r="F671" s="9" t="s">
        <v>13</v>
      </c>
      <c r="G671" s="11">
        <v>46732</v>
      </c>
      <c r="H671" s="8">
        <v>40</v>
      </c>
      <c r="I671" s="8">
        <v>2</v>
      </c>
      <c r="J671" s="1" t="s">
        <v>23</v>
      </c>
    </row>
    <row r="672" spans="1:10" ht="13.8" x14ac:dyDescent="0.25">
      <c r="A672" t="s">
        <v>718</v>
      </c>
      <c r="B672" s="8">
        <v>77</v>
      </c>
      <c r="C672" s="9" t="s">
        <v>11</v>
      </c>
      <c r="D672" s="9" t="s">
        <v>12</v>
      </c>
      <c r="E672" s="1">
        <v>45380</v>
      </c>
      <c r="F672" s="9" t="s">
        <v>26</v>
      </c>
      <c r="G672" s="11">
        <v>12900</v>
      </c>
      <c r="H672" s="8">
        <v>46</v>
      </c>
      <c r="I672" s="8">
        <v>1</v>
      </c>
      <c r="J672" s="1" t="s">
        <v>48</v>
      </c>
    </row>
    <row r="673" spans="1:10" ht="13.8" x14ac:dyDescent="0.25">
      <c r="A673" t="s">
        <v>719</v>
      </c>
      <c r="B673" s="8">
        <v>23</v>
      </c>
      <c r="C673" s="9" t="s">
        <v>11</v>
      </c>
      <c r="D673" s="9" t="s">
        <v>21</v>
      </c>
      <c r="E673" s="1">
        <v>45508</v>
      </c>
      <c r="F673" s="9" t="s">
        <v>18</v>
      </c>
      <c r="G673" s="11">
        <v>26714</v>
      </c>
      <c r="H673" s="8">
        <v>93</v>
      </c>
      <c r="I673" s="8">
        <v>3</v>
      </c>
      <c r="J673" s="1" t="s">
        <v>33</v>
      </c>
    </row>
    <row r="674" spans="1:10" ht="13.8" x14ac:dyDescent="0.25">
      <c r="A674" t="s">
        <v>720</v>
      </c>
      <c r="B674" s="8">
        <v>3</v>
      </c>
      <c r="C674" s="9" t="s">
        <v>11</v>
      </c>
      <c r="D674" s="9" t="s">
        <v>52</v>
      </c>
      <c r="E674" s="1">
        <v>44953</v>
      </c>
      <c r="F674" s="9" t="s">
        <v>26</v>
      </c>
      <c r="G674" s="11">
        <v>19051</v>
      </c>
      <c r="H674" s="8">
        <v>75</v>
      </c>
      <c r="I674" s="8">
        <v>5</v>
      </c>
      <c r="J674" s="1" t="s">
        <v>95</v>
      </c>
    </row>
    <row r="675" spans="1:10" ht="13.8" x14ac:dyDescent="0.25">
      <c r="A675" t="s">
        <v>721</v>
      </c>
      <c r="B675" s="8">
        <v>1</v>
      </c>
      <c r="C675" s="9" t="s">
        <v>16</v>
      </c>
      <c r="D675" s="9" t="s">
        <v>25</v>
      </c>
      <c r="E675" s="1">
        <v>45526</v>
      </c>
      <c r="F675" s="9" t="s">
        <v>53</v>
      </c>
      <c r="G675" s="11">
        <v>24981</v>
      </c>
      <c r="H675" s="8">
        <v>71</v>
      </c>
      <c r="I675" s="8">
        <v>5</v>
      </c>
      <c r="J675" s="1" t="s">
        <v>33</v>
      </c>
    </row>
    <row r="676" spans="1:10" ht="13.8" x14ac:dyDescent="0.25">
      <c r="A676" t="s">
        <v>722</v>
      </c>
      <c r="B676" s="8">
        <v>86</v>
      </c>
      <c r="C676" s="9" t="s">
        <v>11</v>
      </c>
      <c r="D676" s="9" t="s">
        <v>17</v>
      </c>
      <c r="E676" s="1">
        <v>45238</v>
      </c>
      <c r="F676" s="9" t="s">
        <v>18</v>
      </c>
      <c r="G676" s="11">
        <v>7348</v>
      </c>
      <c r="H676" s="8">
        <v>52</v>
      </c>
      <c r="I676" s="8">
        <v>1</v>
      </c>
      <c r="J676" s="1" t="s">
        <v>40</v>
      </c>
    </row>
    <row r="677" spans="1:10" ht="13.8" x14ac:dyDescent="0.25">
      <c r="A677" t="s">
        <v>723</v>
      </c>
      <c r="B677" s="8">
        <v>46</v>
      </c>
      <c r="C677" s="9" t="s">
        <v>16</v>
      </c>
      <c r="D677" s="9" t="s">
        <v>25</v>
      </c>
      <c r="E677" s="1">
        <v>45384</v>
      </c>
      <c r="F677" s="9" t="s">
        <v>18</v>
      </c>
      <c r="G677" s="11">
        <v>2085</v>
      </c>
      <c r="H677" s="8">
        <v>50</v>
      </c>
      <c r="I677" s="8">
        <v>5</v>
      </c>
      <c r="J677" s="1" t="s">
        <v>50</v>
      </c>
    </row>
    <row r="678" spans="1:10" ht="13.8" x14ac:dyDescent="0.25">
      <c r="A678" t="s">
        <v>724</v>
      </c>
      <c r="B678" s="8">
        <v>40</v>
      </c>
      <c r="C678" s="9" t="s">
        <v>11</v>
      </c>
      <c r="D678" s="9" t="s">
        <v>25</v>
      </c>
      <c r="E678" s="1">
        <v>45332</v>
      </c>
      <c r="F678" s="9" t="s">
        <v>53</v>
      </c>
      <c r="G678" s="11">
        <v>12344</v>
      </c>
      <c r="H678" s="8">
        <v>52</v>
      </c>
      <c r="I678" s="8">
        <v>1</v>
      </c>
      <c r="J678" s="1" t="s">
        <v>14</v>
      </c>
    </row>
    <row r="679" spans="1:10" ht="13.8" x14ac:dyDescent="0.25">
      <c r="A679" t="s">
        <v>725</v>
      </c>
      <c r="B679" s="8">
        <v>83</v>
      </c>
      <c r="C679" s="9" t="s">
        <v>16</v>
      </c>
      <c r="D679" s="9" t="s">
        <v>25</v>
      </c>
      <c r="E679" s="1">
        <v>45098</v>
      </c>
      <c r="F679" s="9" t="s">
        <v>22</v>
      </c>
      <c r="G679" s="11">
        <v>48704</v>
      </c>
      <c r="H679" s="8">
        <v>57</v>
      </c>
      <c r="I679" s="8">
        <v>0</v>
      </c>
      <c r="J679" s="1" t="s">
        <v>38</v>
      </c>
    </row>
    <row r="680" spans="1:10" ht="13.8" x14ac:dyDescent="0.25">
      <c r="A680" t="s">
        <v>726</v>
      </c>
      <c r="B680" s="8">
        <v>28</v>
      </c>
      <c r="C680" s="9" t="s">
        <v>16</v>
      </c>
      <c r="D680" s="9" t="s">
        <v>21</v>
      </c>
      <c r="E680" s="1">
        <v>45034</v>
      </c>
      <c r="F680" s="9" t="s">
        <v>13</v>
      </c>
      <c r="G680" s="11">
        <v>47037</v>
      </c>
      <c r="H680" s="8">
        <v>53</v>
      </c>
      <c r="I680" s="8">
        <v>0</v>
      </c>
      <c r="J680" s="1" t="s">
        <v>80</v>
      </c>
    </row>
    <row r="681" spans="1:10" ht="13.8" x14ac:dyDescent="0.25">
      <c r="A681" t="s">
        <v>727</v>
      </c>
      <c r="B681" s="8">
        <v>71</v>
      </c>
      <c r="C681" s="9" t="s">
        <v>16</v>
      </c>
      <c r="D681" s="9" t="s">
        <v>25</v>
      </c>
      <c r="E681" s="1">
        <v>45060</v>
      </c>
      <c r="F681" s="9" t="s">
        <v>18</v>
      </c>
      <c r="G681" s="11">
        <v>32510</v>
      </c>
      <c r="H681" s="8">
        <v>68</v>
      </c>
      <c r="I681" s="8">
        <v>3</v>
      </c>
      <c r="J681" s="1" t="s">
        <v>35</v>
      </c>
    </row>
    <row r="682" spans="1:10" ht="13.8" x14ac:dyDescent="0.25">
      <c r="A682" t="s">
        <v>728</v>
      </c>
      <c r="B682" s="8">
        <v>12</v>
      </c>
      <c r="C682" s="9" t="s">
        <v>11</v>
      </c>
      <c r="D682" s="9" t="s">
        <v>17</v>
      </c>
      <c r="E682" s="1">
        <v>45199</v>
      </c>
      <c r="F682" s="9" t="s">
        <v>26</v>
      </c>
      <c r="G682" s="11">
        <v>4072</v>
      </c>
      <c r="H682" s="8">
        <v>69</v>
      </c>
      <c r="I682" s="8">
        <v>3</v>
      </c>
      <c r="J682" s="1" t="s">
        <v>109</v>
      </c>
    </row>
    <row r="683" spans="1:10" ht="13.8" x14ac:dyDescent="0.25">
      <c r="A683" t="s">
        <v>729</v>
      </c>
      <c r="B683" s="8">
        <v>40</v>
      </c>
      <c r="C683" s="9" t="s">
        <v>11</v>
      </c>
      <c r="D683" s="9" t="s">
        <v>25</v>
      </c>
      <c r="E683" s="1">
        <v>45118</v>
      </c>
      <c r="F683" s="9" t="s">
        <v>53</v>
      </c>
      <c r="G683" s="11">
        <v>40020</v>
      </c>
      <c r="H683" s="8">
        <v>41</v>
      </c>
      <c r="I683" s="8">
        <v>0</v>
      </c>
      <c r="J683" s="1" t="s">
        <v>78</v>
      </c>
    </row>
    <row r="684" spans="1:10" ht="13.8" x14ac:dyDescent="0.25">
      <c r="A684" t="s">
        <v>730</v>
      </c>
      <c r="B684" s="8">
        <v>62</v>
      </c>
      <c r="C684" s="9" t="s">
        <v>16</v>
      </c>
      <c r="D684" s="9" t="s">
        <v>62</v>
      </c>
      <c r="E684" s="1">
        <v>45086</v>
      </c>
      <c r="F684" s="9" t="s">
        <v>26</v>
      </c>
      <c r="G684" s="11">
        <v>13419</v>
      </c>
      <c r="H684" s="8">
        <v>81</v>
      </c>
      <c r="I684" s="8">
        <v>0</v>
      </c>
      <c r="J684" s="1" t="s">
        <v>38</v>
      </c>
    </row>
    <row r="685" spans="1:10" ht="13.8" x14ac:dyDescent="0.25">
      <c r="A685" t="s">
        <v>731</v>
      </c>
      <c r="B685" s="8">
        <v>71</v>
      </c>
      <c r="C685" s="9" t="s">
        <v>16</v>
      </c>
      <c r="D685" s="9" t="s">
        <v>21</v>
      </c>
      <c r="E685" s="1">
        <v>45322</v>
      </c>
      <c r="F685" s="9" t="s">
        <v>22</v>
      </c>
      <c r="G685" s="11">
        <v>6207</v>
      </c>
      <c r="H685" s="8">
        <v>74</v>
      </c>
      <c r="I685" s="8">
        <v>3</v>
      </c>
      <c r="J685" s="1" t="s">
        <v>23</v>
      </c>
    </row>
    <row r="686" spans="1:10" ht="13.8" x14ac:dyDescent="0.25">
      <c r="A686" t="s">
        <v>732</v>
      </c>
      <c r="B686" s="8">
        <v>89</v>
      </c>
      <c r="C686" s="9" t="s">
        <v>11</v>
      </c>
      <c r="D686" s="9" t="s">
        <v>52</v>
      </c>
      <c r="E686" s="1">
        <v>45380</v>
      </c>
      <c r="F686" s="9" t="s">
        <v>13</v>
      </c>
      <c r="G686" s="11">
        <v>35072</v>
      </c>
      <c r="H686" s="8">
        <v>76</v>
      </c>
      <c r="I686" s="8">
        <v>5</v>
      </c>
      <c r="J686" s="1" t="s">
        <v>48</v>
      </c>
    </row>
    <row r="687" spans="1:10" ht="13.8" x14ac:dyDescent="0.25">
      <c r="A687" t="s">
        <v>733</v>
      </c>
      <c r="B687" s="8">
        <v>9</v>
      </c>
      <c r="C687" s="9" t="s">
        <v>11</v>
      </c>
      <c r="D687" s="9" t="s">
        <v>21</v>
      </c>
      <c r="E687" s="1">
        <v>45250</v>
      </c>
      <c r="F687" s="9" t="s">
        <v>22</v>
      </c>
      <c r="G687" s="11">
        <v>9020</v>
      </c>
      <c r="H687" s="8">
        <v>80</v>
      </c>
      <c r="I687" s="8">
        <v>2</v>
      </c>
      <c r="J687" s="1" t="s">
        <v>40</v>
      </c>
    </row>
    <row r="688" spans="1:10" ht="13.8" x14ac:dyDescent="0.25">
      <c r="A688" t="s">
        <v>734</v>
      </c>
      <c r="B688" s="8">
        <v>5</v>
      </c>
      <c r="C688" s="9" t="s">
        <v>11</v>
      </c>
      <c r="D688" s="9" t="s">
        <v>12</v>
      </c>
      <c r="E688" s="1">
        <v>45376</v>
      </c>
      <c r="F688" s="9" t="s">
        <v>26</v>
      </c>
      <c r="G688" s="11">
        <v>4268</v>
      </c>
      <c r="H688" s="8">
        <v>89</v>
      </c>
      <c r="I688" s="8">
        <v>0</v>
      </c>
      <c r="J688" s="1" t="s">
        <v>48</v>
      </c>
    </row>
    <row r="689" spans="1:10" ht="13.8" x14ac:dyDescent="0.25">
      <c r="A689" t="s">
        <v>735</v>
      </c>
      <c r="B689" s="8">
        <v>1</v>
      </c>
      <c r="C689" s="9" t="s">
        <v>16</v>
      </c>
      <c r="D689" s="9" t="s">
        <v>12</v>
      </c>
      <c r="E689" s="1">
        <v>45209</v>
      </c>
      <c r="F689" s="9" t="s">
        <v>18</v>
      </c>
      <c r="G689" s="11">
        <v>902</v>
      </c>
      <c r="H689" s="8">
        <v>45</v>
      </c>
      <c r="I689" s="8">
        <v>3</v>
      </c>
      <c r="J689" s="1" t="s">
        <v>27</v>
      </c>
    </row>
    <row r="690" spans="1:10" ht="13.8" x14ac:dyDescent="0.25">
      <c r="A690" t="s">
        <v>736</v>
      </c>
      <c r="B690" s="8">
        <v>19</v>
      </c>
      <c r="C690" s="9" t="s">
        <v>16</v>
      </c>
      <c r="D690" s="9" t="s">
        <v>12</v>
      </c>
      <c r="E690" s="1">
        <v>45164</v>
      </c>
      <c r="F690" s="9" t="s">
        <v>22</v>
      </c>
      <c r="G690" s="11">
        <v>41953</v>
      </c>
      <c r="H690" s="8">
        <v>55</v>
      </c>
      <c r="I690" s="8">
        <v>0</v>
      </c>
      <c r="J690" s="1" t="s">
        <v>30</v>
      </c>
    </row>
    <row r="691" spans="1:10" ht="13.8" x14ac:dyDescent="0.25">
      <c r="A691" t="s">
        <v>737</v>
      </c>
      <c r="B691" s="8">
        <v>20</v>
      </c>
      <c r="C691" s="9" t="s">
        <v>11</v>
      </c>
      <c r="D691" s="9" t="s">
        <v>12</v>
      </c>
      <c r="E691" s="1">
        <v>45335</v>
      </c>
      <c r="F691" s="9" t="s">
        <v>53</v>
      </c>
      <c r="G691" s="11">
        <v>31760</v>
      </c>
      <c r="H691" s="8">
        <v>81</v>
      </c>
      <c r="I691" s="8">
        <v>5</v>
      </c>
      <c r="J691" s="1" t="s">
        <v>14</v>
      </c>
    </row>
    <row r="692" spans="1:10" ht="13.8" x14ac:dyDescent="0.25">
      <c r="A692" t="s">
        <v>738</v>
      </c>
      <c r="B692" s="8">
        <v>12</v>
      </c>
      <c r="C692" s="9" t="s">
        <v>11</v>
      </c>
      <c r="D692" s="9" t="s">
        <v>52</v>
      </c>
      <c r="E692" s="1">
        <v>45306</v>
      </c>
      <c r="F692" s="9" t="s">
        <v>26</v>
      </c>
      <c r="G692" s="11">
        <v>48106</v>
      </c>
      <c r="H692" s="8">
        <v>45</v>
      </c>
      <c r="I692" s="8">
        <v>2</v>
      </c>
      <c r="J692" s="1" t="s">
        <v>23</v>
      </c>
    </row>
    <row r="693" spans="1:10" ht="13.8" x14ac:dyDescent="0.25">
      <c r="A693" t="s">
        <v>739</v>
      </c>
      <c r="B693" s="8">
        <v>81</v>
      </c>
      <c r="C693" s="9" t="s">
        <v>11</v>
      </c>
      <c r="D693" s="9" t="s">
        <v>52</v>
      </c>
      <c r="E693" s="1">
        <v>45043</v>
      </c>
      <c r="F693" s="9" t="s">
        <v>18</v>
      </c>
      <c r="G693" s="11">
        <v>36722</v>
      </c>
      <c r="H693" s="8">
        <v>70</v>
      </c>
      <c r="I693" s="8">
        <v>5</v>
      </c>
      <c r="J693" s="1" t="s">
        <v>80</v>
      </c>
    </row>
    <row r="694" spans="1:10" ht="13.8" x14ac:dyDescent="0.25">
      <c r="A694" t="s">
        <v>740</v>
      </c>
      <c r="B694" s="8">
        <v>26</v>
      </c>
      <c r="C694" s="9" t="s">
        <v>11</v>
      </c>
      <c r="D694" s="9" t="s">
        <v>17</v>
      </c>
      <c r="E694" s="1">
        <v>45379</v>
      </c>
      <c r="F694" s="9" t="s">
        <v>26</v>
      </c>
      <c r="G694" s="11">
        <v>13795</v>
      </c>
      <c r="H694" s="8">
        <v>93</v>
      </c>
      <c r="I694" s="8">
        <v>2</v>
      </c>
      <c r="J694" s="1" t="s">
        <v>48</v>
      </c>
    </row>
    <row r="695" spans="1:10" ht="13.8" x14ac:dyDescent="0.25">
      <c r="A695" t="s">
        <v>741</v>
      </c>
      <c r="B695" s="8">
        <v>10</v>
      </c>
      <c r="C695" s="9" t="s">
        <v>16</v>
      </c>
      <c r="D695" s="9" t="s">
        <v>12</v>
      </c>
      <c r="E695" s="1">
        <v>45180</v>
      </c>
      <c r="F695" s="9" t="s">
        <v>18</v>
      </c>
      <c r="G695" s="11">
        <v>38856</v>
      </c>
      <c r="H695" s="8">
        <v>95</v>
      </c>
      <c r="I695" s="8">
        <v>3</v>
      </c>
      <c r="J695" s="1" t="s">
        <v>109</v>
      </c>
    </row>
    <row r="696" spans="1:10" ht="13.8" x14ac:dyDescent="0.25">
      <c r="A696" t="s">
        <v>742</v>
      </c>
      <c r="B696" s="8">
        <v>53</v>
      </c>
      <c r="C696" s="9" t="s">
        <v>16</v>
      </c>
      <c r="D696" s="9" t="s">
        <v>12</v>
      </c>
      <c r="E696" s="1">
        <v>45563</v>
      </c>
      <c r="F696" s="9" t="s">
        <v>22</v>
      </c>
      <c r="G696" s="11">
        <v>41040</v>
      </c>
      <c r="H696" s="8">
        <v>82</v>
      </c>
      <c r="I696" s="8">
        <v>3</v>
      </c>
      <c r="J696" s="1" t="s">
        <v>45</v>
      </c>
    </row>
    <row r="697" spans="1:10" ht="13.8" x14ac:dyDescent="0.25">
      <c r="A697" t="s">
        <v>743</v>
      </c>
      <c r="B697" s="8">
        <v>67</v>
      </c>
      <c r="C697" s="9" t="s">
        <v>16</v>
      </c>
      <c r="D697" s="9" t="s">
        <v>25</v>
      </c>
      <c r="E697" s="1">
        <v>45069</v>
      </c>
      <c r="F697" s="9" t="s">
        <v>29</v>
      </c>
      <c r="G697" s="11">
        <v>20061</v>
      </c>
      <c r="H697" s="8">
        <v>50</v>
      </c>
      <c r="I697" s="8">
        <v>4</v>
      </c>
      <c r="J697" s="1" t="s">
        <v>35</v>
      </c>
    </row>
    <row r="698" spans="1:10" ht="13.8" x14ac:dyDescent="0.25">
      <c r="A698" t="s">
        <v>744</v>
      </c>
      <c r="B698" s="8">
        <v>76</v>
      </c>
      <c r="C698" s="9" t="s">
        <v>11</v>
      </c>
      <c r="D698" s="9" t="s">
        <v>25</v>
      </c>
      <c r="E698" s="1">
        <v>45488</v>
      </c>
      <c r="F698" s="9" t="s">
        <v>22</v>
      </c>
      <c r="G698" s="11">
        <v>43549</v>
      </c>
      <c r="H698" s="8">
        <v>79</v>
      </c>
      <c r="I698" s="8">
        <v>2</v>
      </c>
      <c r="J698" s="1" t="s">
        <v>19</v>
      </c>
    </row>
    <row r="699" spans="1:10" ht="13.8" x14ac:dyDescent="0.25">
      <c r="A699" t="s">
        <v>745</v>
      </c>
      <c r="B699" s="8">
        <v>29</v>
      </c>
      <c r="C699" s="9" t="s">
        <v>16</v>
      </c>
      <c r="D699" s="9" t="s">
        <v>12</v>
      </c>
      <c r="E699" s="1">
        <v>45136</v>
      </c>
      <c r="F699" s="9" t="s">
        <v>29</v>
      </c>
      <c r="G699" s="11">
        <v>16275</v>
      </c>
      <c r="H699" s="8">
        <v>58</v>
      </c>
      <c r="I699" s="8">
        <v>0</v>
      </c>
      <c r="J699" s="1" t="s">
        <v>78</v>
      </c>
    </row>
    <row r="700" spans="1:10" ht="13.8" x14ac:dyDescent="0.25">
      <c r="A700" t="s">
        <v>746</v>
      </c>
      <c r="B700" s="8">
        <v>8</v>
      </c>
      <c r="C700" s="9" t="s">
        <v>11</v>
      </c>
      <c r="D700" s="9" t="s">
        <v>17</v>
      </c>
      <c r="E700" s="1">
        <v>45143</v>
      </c>
      <c r="F700" s="9" t="s">
        <v>26</v>
      </c>
      <c r="G700" s="11">
        <v>24290</v>
      </c>
      <c r="H700" s="8">
        <v>85</v>
      </c>
      <c r="I700" s="8">
        <v>5</v>
      </c>
      <c r="J700" s="1" t="s">
        <v>30</v>
      </c>
    </row>
    <row r="701" spans="1:10" ht="13.8" x14ac:dyDescent="0.25">
      <c r="A701" t="s">
        <v>747</v>
      </c>
      <c r="B701" s="8">
        <v>46</v>
      </c>
      <c r="C701" s="9" t="s">
        <v>11</v>
      </c>
      <c r="D701" s="9" t="s">
        <v>52</v>
      </c>
      <c r="E701" s="1">
        <v>45453</v>
      </c>
      <c r="F701" s="9" t="s">
        <v>13</v>
      </c>
      <c r="G701" s="11">
        <v>2601</v>
      </c>
      <c r="H701" s="8">
        <v>68</v>
      </c>
      <c r="I701" s="8">
        <v>3</v>
      </c>
      <c r="J701" s="1" t="s">
        <v>42</v>
      </c>
    </row>
    <row r="702" spans="1:10" ht="13.8" x14ac:dyDescent="0.25">
      <c r="A702" t="s">
        <v>748</v>
      </c>
      <c r="B702" s="8">
        <v>79</v>
      </c>
      <c r="C702" s="9" t="s">
        <v>11</v>
      </c>
      <c r="D702" s="9" t="s">
        <v>17</v>
      </c>
      <c r="E702" s="1">
        <v>45170</v>
      </c>
      <c r="F702" s="9" t="s">
        <v>29</v>
      </c>
      <c r="G702" s="11">
        <v>3787</v>
      </c>
      <c r="H702" s="8">
        <v>94</v>
      </c>
      <c r="I702" s="8">
        <v>4</v>
      </c>
      <c r="J702" s="1" t="s">
        <v>109</v>
      </c>
    </row>
    <row r="703" spans="1:10" ht="13.8" x14ac:dyDescent="0.25">
      <c r="A703" t="s">
        <v>749</v>
      </c>
      <c r="B703" s="8">
        <v>17</v>
      </c>
      <c r="C703" s="9" t="s">
        <v>11</v>
      </c>
      <c r="D703" s="9" t="s">
        <v>21</v>
      </c>
      <c r="E703" s="1">
        <v>45216</v>
      </c>
      <c r="F703" s="9" t="s">
        <v>18</v>
      </c>
      <c r="G703" s="11">
        <v>22537</v>
      </c>
      <c r="H703" s="8">
        <v>63</v>
      </c>
      <c r="I703" s="8">
        <v>0</v>
      </c>
      <c r="J703" s="1" t="s">
        <v>27</v>
      </c>
    </row>
    <row r="704" spans="1:10" ht="13.8" x14ac:dyDescent="0.25">
      <c r="A704" t="s">
        <v>750</v>
      </c>
      <c r="B704" s="8">
        <v>35</v>
      </c>
      <c r="C704" s="9" t="s">
        <v>16</v>
      </c>
      <c r="D704" s="9" t="s">
        <v>62</v>
      </c>
      <c r="E704" s="1">
        <v>44929</v>
      </c>
      <c r="F704" s="9" t="s">
        <v>18</v>
      </c>
      <c r="G704" s="11">
        <v>8774</v>
      </c>
      <c r="H704" s="8">
        <v>72</v>
      </c>
      <c r="I704" s="8">
        <v>4</v>
      </c>
      <c r="J704" s="1" t="s">
        <v>95</v>
      </c>
    </row>
    <row r="705" spans="1:10" ht="13.8" x14ac:dyDescent="0.25">
      <c r="A705" t="s">
        <v>751</v>
      </c>
      <c r="B705" s="8">
        <v>87</v>
      </c>
      <c r="C705" s="9" t="s">
        <v>16</v>
      </c>
      <c r="D705" s="9" t="s">
        <v>62</v>
      </c>
      <c r="E705" s="1">
        <v>45302</v>
      </c>
      <c r="F705" s="9" t="s">
        <v>13</v>
      </c>
      <c r="G705" s="11">
        <v>31423</v>
      </c>
      <c r="H705" s="8">
        <v>58</v>
      </c>
      <c r="I705" s="8">
        <v>3</v>
      </c>
      <c r="J705" s="1" t="s">
        <v>23</v>
      </c>
    </row>
    <row r="706" spans="1:10" ht="13.8" x14ac:dyDescent="0.25">
      <c r="A706" t="s">
        <v>752</v>
      </c>
      <c r="B706" s="8">
        <v>88</v>
      </c>
      <c r="C706" s="9" t="s">
        <v>11</v>
      </c>
      <c r="D706" s="9" t="s">
        <v>52</v>
      </c>
      <c r="E706" s="1">
        <v>45316</v>
      </c>
      <c r="F706" s="9" t="s">
        <v>26</v>
      </c>
      <c r="G706" s="11">
        <v>15698</v>
      </c>
      <c r="H706" s="8">
        <v>60</v>
      </c>
      <c r="I706" s="8">
        <v>1</v>
      </c>
      <c r="J706" s="1" t="s">
        <v>23</v>
      </c>
    </row>
    <row r="707" spans="1:10" ht="13.8" x14ac:dyDescent="0.25">
      <c r="A707" t="s">
        <v>753</v>
      </c>
      <c r="B707" s="8">
        <v>83</v>
      </c>
      <c r="C707" s="9" t="s">
        <v>16</v>
      </c>
      <c r="D707" s="9" t="s">
        <v>62</v>
      </c>
      <c r="E707" s="1">
        <v>45534</v>
      </c>
      <c r="F707" s="9" t="s">
        <v>29</v>
      </c>
      <c r="G707" s="11">
        <v>5917</v>
      </c>
      <c r="H707" s="8">
        <v>45</v>
      </c>
      <c r="I707" s="8">
        <v>0</v>
      </c>
      <c r="J707" s="1" t="s">
        <v>33</v>
      </c>
    </row>
    <row r="708" spans="1:10" ht="13.8" x14ac:dyDescent="0.25">
      <c r="A708" t="s">
        <v>754</v>
      </c>
      <c r="B708" s="8">
        <v>59</v>
      </c>
      <c r="C708" s="9" t="s">
        <v>11</v>
      </c>
      <c r="D708" s="9" t="s">
        <v>17</v>
      </c>
      <c r="E708" s="1">
        <v>45111</v>
      </c>
      <c r="F708" s="9" t="s">
        <v>18</v>
      </c>
      <c r="G708" s="11">
        <v>29112</v>
      </c>
      <c r="H708" s="8">
        <v>97</v>
      </c>
      <c r="I708" s="8">
        <v>4</v>
      </c>
      <c r="J708" s="1" t="s">
        <v>78</v>
      </c>
    </row>
    <row r="709" spans="1:10" ht="13.8" x14ac:dyDescent="0.25">
      <c r="A709" t="s">
        <v>755</v>
      </c>
      <c r="B709" s="8">
        <v>7</v>
      </c>
      <c r="C709" s="9" t="s">
        <v>16</v>
      </c>
      <c r="D709" s="9" t="s">
        <v>21</v>
      </c>
      <c r="E709" s="1">
        <v>45005</v>
      </c>
      <c r="F709" s="9" t="s">
        <v>26</v>
      </c>
      <c r="G709" s="11">
        <v>30385</v>
      </c>
      <c r="H709" s="8">
        <v>48</v>
      </c>
      <c r="I709" s="8">
        <v>4</v>
      </c>
      <c r="J709" s="1" t="s">
        <v>63</v>
      </c>
    </row>
    <row r="710" spans="1:10" ht="13.8" x14ac:dyDescent="0.25">
      <c r="A710" t="s">
        <v>756</v>
      </c>
      <c r="B710" s="8">
        <v>26</v>
      </c>
      <c r="C710" s="9" t="s">
        <v>16</v>
      </c>
      <c r="D710" s="9" t="s">
        <v>17</v>
      </c>
      <c r="E710" s="1">
        <v>45414</v>
      </c>
      <c r="F710" s="9" t="s">
        <v>53</v>
      </c>
      <c r="G710" s="11">
        <v>29604</v>
      </c>
      <c r="H710" s="8">
        <v>68</v>
      </c>
      <c r="I710" s="8">
        <v>0</v>
      </c>
      <c r="J710" s="1" t="s">
        <v>66</v>
      </c>
    </row>
    <row r="711" spans="1:10" ht="13.8" x14ac:dyDescent="0.25">
      <c r="A711" t="s">
        <v>757</v>
      </c>
      <c r="B711" s="8">
        <v>10</v>
      </c>
      <c r="C711" s="9" t="s">
        <v>16</v>
      </c>
      <c r="D711" s="9" t="s">
        <v>52</v>
      </c>
      <c r="E711" s="1">
        <v>44984</v>
      </c>
      <c r="F711" s="9" t="s">
        <v>53</v>
      </c>
      <c r="G711" s="11">
        <v>38693</v>
      </c>
      <c r="H711" s="8">
        <v>79</v>
      </c>
      <c r="I711" s="8">
        <v>5</v>
      </c>
      <c r="J711" s="1" t="s">
        <v>126</v>
      </c>
    </row>
    <row r="712" spans="1:10" ht="13.8" x14ac:dyDescent="0.25">
      <c r="A712" t="s">
        <v>758</v>
      </c>
      <c r="B712" s="8">
        <v>53</v>
      </c>
      <c r="C712" s="9" t="s">
        <v>16</v>
      </c>
      <c r="D712" s="9" t="s">
        <v>25</v>
      </c>
      <c r="E712" s="1">
        <v>45328</v>
      </c>
      <c r="F712" s="9" t="s">
        <v>13</v>
      </c>
      <c r="G712" s="11">
        <v>25345</v>
      </c>
      <c r="H712" s="8">
        <v>71</v>
      </c>
      <c r="I712" s="8">
        <v>2</v>
      </c>
      <c r="J712" s="1" t="s">
        <v>14</v>
      </c>
    </row>
    <row r="713" spans="1:10" ht="13.8" x14ac:dyDescent="0.25">
      <c r="A713" t="s">
        <v>759</v>
      </c>
      <c r="B713" s="8">
        <v>51</v>
      </c>
      <c r="C713" s="9" t="s">
        <v>16</v>
      </c>
      <c r="D713" s="9" t="s">
        <v>17</v>
      </c>
      <c r="E713" s="1">
        <v>45386</v>
      </c>
      <c r="F713" s="9" t="s">
        <v>53</v>
      </c>
      <c r="G713" s="11">
        <v>30846</v>
      </c>
      <c r="H713" s="8">
        <v>41</v>
      </c>
      <c r="I713" s="8">
        <v>0</v>
      </c>
      <c r="J713" s="1" t="s">
        <v>50</v>
      </c>
    </row>
    <row r="714" spans="1:10" ht="13.8" x14ac:dyDescent="0.25">
      <c r="A714" t="s">
        <v>760</v>
      </c>
      <c r="B714" s="8">
        <v>39</v>
      </c>
      <c r="C714" s="9" t="s">
        <v>16</v>
      </c>
      <c r="D714" s="9" t="s">
        <v>52</v>
      </c>
      <c r="E714" s="1">
        <v>45209</v>
      </c>
      <c r="F714" s="9" t="s">
        <v>18</v>
      </c>
      <c r="G714" s="11">
        <v>49901</v>
      </c>
      <c r="H714" s="8">
        <v>86</v>
      </c>
      <c r="I714" s="8">
        <v>1</v>
      </c>
      <c r="J714" s="1" t="s">
        <v>27</v>
      </c>
    </row>
    <row r="715" spans="1:10" ht="13.8" x14ac:dyDescent="0.25">
      <c r="A715" t="s">
        <v>761</v>
      </c>
      <c r="B715" s="8">
        <v>47</v>
      </c>
      <c r="C715" s="9" t="s">
        <v>16</v>
      </c>
      <c r="D715" s="9" t="s">
        <v>17</v>
      </c>
      <c r="E715" s="1">
        <v>45114</v>
      </c>
      <c r="F715" s="9" t="s">
        <v>29</v>
      </c>
      <c r="G715" s="11">
        <v>38812</v>
      </c>
      <c r="H715" s="8">
        <v>75</v>
      </c>
      <c r="I715" s="8">
        <v>5</v>
      </c>
      <c r="J715" s="1" t="s">
        <v>78</v>
      </c>
    </row>
    <row r="716" spans="1:10" ht="13.8" x14ac:dyDescent="0.25">
      <c r="A716" t="s">
        <v>762</v>
      </c>
      <c r="B716" s="8">
        <v>11</v>
      </c>
      <c r="C716" s="9" t="s">
        <v>16</v>
      </c>
      <c r="D716" s="9" t="s">
        <v>25</v>
      </c>
      <c r="E716" s="1">
        <v>45579</v>
      </c>
      <c r="F716" s="9" t="s">
        <v>18</v>
      </c>
      <c r="G716" s="11">
        <v>44471</v>
      </c>
      <c r="H716" s="8">
        <v>95</v>
      </c>
      <c r="I716" s="8">
        <v>4</v>
      </c>
      <c r="J716" s="1" t="s">
        <v>92</v>
      </c>
    </row>
    <row r="717" spans="1:10" ht="13.8" x14ac:dyDescent="0.25">
      <c r="A717" t="s">
        <v>763</v>
      </c>
      <c r="B717" s="8">
        <v>27</v>
      </c>
      <c r="C717" s="9" t="s">
        <v>11</v>
      </c>
      <c r="D717" s="9" t="s">
        <v>62</v>
      </c>
      <c r="E717" s="1">
        <v>44961</v>
      </c>
      <c r="F717" s="9" t="s">
        <v>18</v>
      </c>
      <c r="G717" s="11">
        <v>7992</v>
      </c>
      <c r="H717" s="8">
        <v>49</v>
      </c>
      <c r="I717" s="8">
        <v>2</v>
      </c>
      <c r="J717" s="1" t="s">
        <v>126</v>
      </c>
    </row>
    <row r="718" spans="1:10" ht="13.8" x14ac:dyDescent="0.25">
      <c r="A718" t="s">
        <v>764</v>
      </c>
      <c r="B718" s="8">
        <v>44</v>
      </c>
      <c r="C718" s="9" t="s">
        <v>16</v>
      </c>
      <c r="D718" s="9" t="s">
        <v>25</v>
      </c>
      <c r="E718" s="1">
        <v>45561</v>
      </c>
      <c r="F718" s="9" t="s">
        <v>26</v>
      </c>
      <c r="G718" s="11">
        <v>19368</v>
      </c>
      <c r="H718" s="8">
        <v>46</v>
      </c>
      <c r="I718" s="8">
        <v>4</v>
      </c>
      <c r="J718" s="1" t="s">
        <v>45</v>
      </c>
    </row>
    <row r="719" spans="1:10" ht="13.8" x14ac:dyDescent="0.25">
      <c r="A719" t="s">
        <v>765</v>
      </c>
      <c r="B719" s="8">
        <v>84</v>
      </c>
      <c r="C719" s="9" t="s">
        <v>16</v>
      </c>
      <c r="D719" s="9" t="s">
        <v>12</v>
      </c>
      <c r="E719" s="1">
        <v>45546</v>
      </c>
      <c r="F719" s="9" t="s">
        <v>26</v>
      </c>
      <c r="G719" s="11">
        <v>44768</v>
      </c>
      <c r="H719" s="8">
        <v>98</v>
      </c>
      <c r="I719" s="8">
        <v>4</v>
      </c>
      <c r="J719" s="1" t="s">
        <v>45</v>
      </c>
    </row>
    <row r="720" spans="1:10" ht="13.8" x14ac:dyDescent="0.25">
      <c r="A720" t="s">
        <v>766</v>
      </c>
      <c r="B720" s="8">
        <v>55</v>
      </c>
      <c r="C720" s="9" t="s">
        <v>16</v>
      </c>
      <c r="D720" s="9" t="s">
        <v>21</v>
      </c>
      <c r="E720" s="1">
        <v>45366</v>
      </c>
      <c r="F720" s="9" t="s">
        <v>13</v>
      </c>
      <c r="G720" s="11">
        <v>44534</v>
      </c>
      <c r="H720" s="8">
        <v>62</v>
      </c>
      <c r="I720" s="8">
        <v>1</v>
      </c>
      <c r="J720" s="1" t="s">
        <v>48</v>
      </c>
    </row>
    <row r="721" spans="1:10" ht="13.8" x14ac:dyDescent="0.25">
      <c r="A721" t="s">
        <v>767</v>
      </c>
      <c r="B721" s="8">
        <v>46</v>
      </c>
      <c r="C721" s="9" t="s">
        <v>16</v>
      </c>
      <c r="D721" s="9" t="s">
        <v>21</v>
      </c>
      <c r="E721" s="1">
        <v>45568</v>
      </c>
      <c r="F721" s="9" t="s">
        <v>26</v>
      </c>
      <c r="G721" s="11">
        <v>49738</v>
      </c>
      <c r="H721" s="8">
        <v>46</v>
      </c>
      <c r="I721" s="8">
        <v>4</v>
      </c>
      <c r="J721" s="1" t="s">
        <v>92</v>
      </c>
    </row>
    <row r="722" spans="1:10" ht="13.8" x14ac:dyDescent="0.25">
      <c r="A722" t="s">
        <v>768</v>
      </c>
      <c r="B722" s="8">
        <v>5</v>
      </c>
      <c r="C722" s="9" t="s">
        <v>16</v>
      </c>
      <c r="D722" s="9" t="s">
        <v>62</v>
      </c>
      <c r="E722" s="1">
        <v>45207</v>
      </c>
      <c r="F722" s="9" t="s">
        <v>13</v>
      </c>
      <c r="G722" s="11">
        <v>1751</v>
      </c>
      <c r="H722" s="8">
        <v>99</v>
      </c>
      <c r="I722" s="8">
        <v>4</v>
      </c>
      <c r="J722" s="1" t="s">
        <v>27</v>
      </c>
    </row>
    <row r="723" spans="1:10" ht="13.8" x14ac:dyDescent="0.25">
      <c r="A723" t="s">
        <v>769</v>
      </c>
      <c r="B723" s="8">
        <v>35</v>
      </c>
      <c r="C723" s="9" t="s">
        <v>11</v>
      </c>
      <c r="D723" s="9" t="s">
        <v>21</v>
      </c>
      <c r="E723" s="1">
        <v>45085</v>
      </c>
      <c r="F723" s="9" t="s">
        <v>29</v>
      </c>
      <c r="G723" s="11">
        <v>45809</v>
      </c>
      <c r="H723" s="8">
        <v>88</v>
      </c>
      <c r="I723" s="8">
        <v>0</v>
      </c>
      <c r="J723" s="1" t="s">
        <v>38</v>
      </c>
    </row>
    <row r="724" spans="1:10" ht="13.8" x14ac:dyDescent="0.25">
      <c r="A724" t="s">
        <v>770</v>
      </c>
      <c r="B724" s="8">
        <v>83</v>
      </c>
      <c r="C724" s="9" t="s">
        <v>11</v>
      </c>
      <c r="D724" s="9" t="s">
        <v>25</v>
      </c>
      <c r="E724" s="1">
        <v>45163</v>
      </c>
      <c r="F724" s="9" t="s">
        <v>13</v>
      </c>
      <c r="G724" s="11">
        <v>783</v>
      </c>
      <c r="H724" s="8">
        <v>73</v>
      </c>
      <c r="I724" s="8">
        <v>3</v>
      </c>
      <c r="J724" s="1" t="s">
        <v>30</v>
      </c>
    </row>
    <row r="725" spans="1:10" ht="13.8" x14ac:dyDescent="0.25">
      <c r="A725" t="s">
        <v>771</v>
      </c>
      <c r="B725" s="8">
        <v>2</v>
      </c>
      <c r="C725" s="9" t="s">
        <v>16</v>
      </c>
      <c r="D725" s="9" t="s">
        <v>52</v>
      </c>
      <c r="E725" s="1">
        <v>45552</v>
      </c>
      <c r="F725" s="9" t="s">
        <v>26</v>
      </c>
      <c r="G725" s="11">
        <v>22240</v>
      </c>
      <c r="H725" s="8">
        <v>57</v>
      </c>
      <c r="I725" s="8">
        <v>2</v>
      </c>
      <c r="J725" s="1" t="s">
        <v>45</v>
      </c>
    </row>
    <row r="726" spans="1:10" ht="13.8" x14ac:dyDescent="0.25">
      <c r="A726" t="s">
        <v>772</v>
      </c>
      <c r="B726" s="8">
        <v>56</v>
      </c>
      <c r="C726" s="9" t="s">
        <v>11</v>
      </c>
      <c r="D726" s="9" t="s">
        <v>21</v>
      </c>
      <c r="E726" s="1">
        <v>45235</v>
      </c>
      <c r="F726" s="9" t="s">
        <v>13</v>
      </c>
      <c r="G726" s="11">
        <v>11893</v>
      </c>
      <c r="H726" s="8">
        <v>46</v>
      </c>
      <c r="I726" s="8">
        <v>2</v>
      </c>
      <c r="J726" s="1" t="s">
        <v>40</v>
      </c>
    </row>
    <row r="727" spans="1:10" ht="13.8" x14ac:dyDescent="0.25">
      <c r="A727" t="s">
        <v>773</v>
      </c>
      <c r="B727" s="8">
        <v>18</v>
      </c>
      <c r="C727" s="9" t="s">
        <v>11</v>
      </c>
      <c r="D727" s="9" t="s">
        <v>25</v>
      </c>
      <c r="E727" s="1">
        <v>45077</v>
      </c>
      <c r="F727" s="9" t="s">
        <v>29</v>
      </c>
      <c r="G727" s="11">
        <v>27522</v>
      </c>
      <c r="H727" s="8">
        <v>49</v>
      </c>
      <c r="I727" s="8">
        <v>0</v>
      </c>
      <c r="J727" s="1" t="s">
        <v>35</v>
      </c>
    </row>
    <row r="728" spans="1:10" ht="13.8" x14ac:dyDescent="0.25">
      <c r="A728" t="s">
        <v>774</v>
      </c>
      <c r="B728" s="8">
        <v>2</v>
      </c>
      <c r="C728" s="9" t="s">
        <v>11</v>
      </c>
      <c r="D728" s="9" t="s">
        <v>25</v>
      </c>
      <c r="E728" s="1">
        <v>45244</v>
      </c>
      <c r="F728" s="9" t="s">
        <v>18</v>
      </c>
      <c r="G728" s="11">
        <v>1944</v>
      </c>
      <c r="H728" s="8">
        <v>61</v>
      </c>
      <c r="I728" s="8">
        <v>1</v>
      </c>
      <c r="J728" s="1" t="s">
        <v>40</v>
      </c>
    </row>
    <row r="729" spans="1:10" ht="13.8" x14ac:dyDescent="0.25">
      <c r="A729" t="s">
        <v>775</v>
      </c>
      <c r="B729" s="8">
        <v>68</v>
      </c>
      <c r="C729" s="9" t="s">
        <v>16</v>
      </c>
      <c r="D729" s="9" t="s">
        <v>12</v>
      </c>
      <c r="E729" s="1">
        <v>44927</v>
      </c>
      <c r="F729" s="9" t="s">
        <v>53</v>
      </c>
      <c r="G729" s="11">
        <v>11844</v>
      </c>
      <c r="H729" s="8">
        <v>55</v>
      </c>
      <c r="I729" s="8">
        <v>4</v>
      </c>
      <c r="J729" s="1" t="s">
        <v>95</v>
      </c>
    </row>
    <row r="730" spans="1:10" ht="13.8" x14ac:dyDescent="0.25">
      <c r="A730" t="s">
        <v>776</v>
      </c>
      <c r="B730" s="8">
        <v>34</v>
      </c>
      <c r="C730" s="9" t="s">
        <v>16</v>
      </c>
      <c r="D730" s="9" t="s">
        <v>25</v>
      </c>
      <c r="E730" s="1">
        <v>45471</v>
      </c>
      <c r="F730" s="9" t="s">
        <v>13</v>
      </c>
      <c r="G730" s="11">
        <v>32436</v>
      </c>
      <c r="H730" s="8">
        <v>91</v>
      </c>
      <c r="I730" s="8">
        <v>0</v>
      </c>
      <c r="J730" s="1" t="s">
        <v>42</v>
      </c>
    </row>
    <row r="731" spans="1:10" ht="13.8" x14ac:dyDescent="0.25">
      <c r="A731" t="s">
        <v>777</v>
      </c>
      <c r="B731" s="8">
        <v>3</v>
      </c>
      <c r="C731" s="9" t="s">
        <v>11</v>
      </c>
      <c r="D731" s="9" t="s">
        <v>12</v>
      </c>
      <c r="E731" s="1">
        <v>45610</v>
      </c>
      <c r="F731" s="9" t="s">
        <v>53</v>
      </c>
      <c r="G731" s="11">
        <v>10288</v>
      </c>
      <c r="H731" s="8">
        <v>71</v>
      </c>
      <c r="I731" s="8">
        <v>4</v>
      </c>
      <c r="J731" s="1" t="s">
        <v>54</v>
      </c>
    </row>
    <row r="732" spans="1:10" ht="13.8" x14ac:dyDescent="0.25">
      <c r="A732" t="s">
        <v>778</v>
      </c>
      <c r="B732" s="8">
        <v>4</v>
      </c>
      <c r="C732" s="9" t="s">
        <v>11</v>
      </c>
      <c r="D732" s="9" t="s">
        <v>52</v>
      </c>
      <c r="E732" s="1">
        <v>45059</v>
      </c>
      <c r="F732" s="9" t="s">
        <v>29</v>
      </c>
      <c r="G732" s="11">
        <v>25447</v>
      </c>
      <c r="H732" s="8">
        <v>63</v>
      </c>
      <c r="I732" s="8">
        <v>1</v>
      </c>
      <c r="J732" s="1" t="s">
        <v>35</v>
      </c>
    </row>
    <row r="733" spans="1:10" ht="13.8" x14ac:dyDescent="0.25">
      <c r="A733" t="s">
        <v>779</v>
      </c>
      <c r="B733" s="8">
        <v>12</v>
      </c>
      <c r="C733" s="9" t="s">
        <v>16</v>
      </c>
      <c r="D733" s="9" t="s">
        <v>62</v>
      </c>
      <c r="E733" s="1">
        <v>45110</v>
      </c>
      <c r="F733" s="9" t="s">
        <v>13</v>
      </c>
      <c r="G733" s="11">
        <v>2855</v>
      </c>
      <c r="H733" s="8">
        <v>57</v>
      </c>
      <c r="I733" s="8">
        <v>2</v>
      </c>
      <c r="J733" s="1" t="s">
        <v>78</v>
      </c>
    </row>
    <row r="734" spans="1:10" ht="13.8" x14ac:dyDescent="0.25">
      <c r="A734" t="s">
        <v>780</v>
      </c>
      <c r="B734" s="8">
        <v>82</v>
      </c>
      <c r="C734" s="9" t="s">
        <v>16</v>
      </c>
      <c r="D734" s="9" t="s">
        <v>62</v>
      </c>
      <c r="E734" s="1">
        <v>45027</v>
      </c>
      <c r="F734" s="9" t="s">
        <v>18</v>
      </c>
      <c r="G734" s="11">
        <v>36539</v>
      </c>
      <c r="H734" s="8">
        <v>92</v>
      </c>
      <c r="I734" s="8">
        <v>1</v>
      </c>
      <c r="J734" s="1" t="s">
        <v>80</v>
      </c>
    </row>
    <row r="735" spans="1:10" ht="13.8" x14ac:dyDescent="0.25">
      <c r="A735" t="s">
        <v>781</v>
      </c>
      <c r="B735" s="8">
        <v>45</v>
      </c>
      <c r="C735" s="9" t="s">
        <v>16</v>
      </c>
      <c r="D735" s="9" t="s">
        <v>21</v>
      </c>
      <c r="E735" s="1">
        <v>45309</v>
      </c>
      <c r="F735" s="9" t="s">
        <v>53</v>
      </c>
      <c r="G735" s="11">
        <v>37839</v>
      </c>
      <c r="H735" s="8">
        <v>96</v>
      </c>
      <c r="I735" s="8">
        <v>1</v>
      </c>
      <c r="J735" s="1" t="s">
        <v>23</v>
      </c>
    </row>
    <row r="736" spans="1:10" ht="13.8" x14ac:dyDescent="0.25">
      <c r="A736" t="s">
        <v>782</v>
      </c>
      <c r="B736" s="8">
        <v>20</v>
      </c>
      <c r="C736" s="9" t="s">
        <v>11</v>
      </c>
      <c r="D736" s="9" t="s">
        <v>12</v>
      </c>
      <c r="E736" s="1">
        <v>45561</v>
      </c>
      <c r="F736" s="9" t="s">
        <v>53</v>
      </c>
      <c r="G736" s="11">
        <v>23875</v>
      </c>
      <c r="H736" s="8">
        <v>91</v>
      </c>
      <c r="I736" s="8">
        <v>1</v>
      </c>
      <c r="J736" s="1" t="s">
        <v>45</v>
      </c>
    </row>
    <row r="737" spans="1:10" ht="13.8" x14ac:dyDescent="0.25">
      <c r="A737" t="s">
        <v>783</v>
      </c>
      <c r="B737" s="8">
        <v>30</v>
      </c>
      <c r="C737" s="9" t="s">
        <v>16</v>
      </c>
      <c r="D737" s="9" t="s">
        <v>12</v>
      </c>
      <c r="E737" s="1">
        <v>44941</v>
      </c>
      <c r="F737" s="9" t="s">
        <v>29</v>
      </c>
      <c r="G737" s="11">
        <v>42802</v>
      </c>
      <c r="H737" s="8">
        <v>44</v>
      </c>
      <c r="I737" s="8">
        <v>0</v>
      </c>
      <c r="J737" s="1" t="s">
        <v>95</v>
      </c>
    </row>
    <row r="738" spans="1:10" ht="13.8" x14ac:dyDescent="0.25">
      <c r="A738" t="s">
        <v>784</v>
      </c>
      <c r="B738" s="8">
        <v>6</v>
      </c>
      <c r="C738" s="9" t="s">
        <v>16</v>
      </c>
      <c r="D738" s="9" t="s">
        <v>12</v>
      </c>
      <c r="E738" s="1">
        <v>45260</v>
      </c>
      <c r="F738" s="9" t="s">
        <v>18</v>
      </c>
      <c r="G738" s="11">
        <v>42084</v>
      </c>
      <c r="H738" s="8">
        <v>47</v>
      </c>
      <c r="I738" s="8">
        <v>1</v>
      </c>
      <c r="J738" s="1" t="s">
        <v>40</v>
      </c>
    </row>
    <row r="739" spans="1:10" ht="13.8" x14ac:dyDescent="0.25">
      <c r="A739" t="s">
        <v>785</v>
      </c>
      <c r="B739" s="8">
        <v>58</v>
      </c>
      <c r="C739" s="9" t="s">
        <v>16</v>
      </c>
      <c r="D739" s="9" t="s">
        <v>62</v>
      </c>
      <c r="E739" s="1">
        <v>45140</v>
      </c>
      <c r="F739" s="9" t="s">
        <v>22</v>
      </c>
      <c r="G739" s="11">
        <v>32778</v>
      </c>
      <c r="H739" s="8">
        <v>60</v>
      </c>
      <c r="I739" s="8">
        <v>0</v>
      </c>
      <c r="J739" s="1" t="s">
        <v>30</v>
      </c>
    </row>
    <row r="740" spans="1:10" ht="13.8" x14ac:dyDescent="0.25">
      <c r="A740" t="s">
        <v>786</v>
      </c>
      <c r="B740" s="8">
        <v>35</v>
      </c>
      <c r="C740" s="9" t="s">
        <v>16</v>
      </c>
      <c r="D740" s="9" t="s">
        <v>17</v>
      </c>
      <c r="E740" s="1">
        <v>45157</v>
      </c>
      <c r="F740" s="9" t="s">
        <v>22</v>
      </c>
      <c r="G740" s="11">
        <v>27342</v>
      </c>
      <c r="H740" s="8">
        <v>56</v>
      </c>
      <c r="I740" s="8">
        <v>3</v>
      </c>
      <c r="J740" s="1" t="s">
        <v>30</v>
      </c>
    </row>
    <row r="741" spans="1:10" ht="13.8" x14ac:dyDescent="0.25">
      <c r="A741" t="s">
        <v>787</v>
      </c>
      <c r="B741" s="8">
        <v>73</v>
      </c>
      <c r="C741" s="9" t="s">
        <v>11</v>
      </c>
      <c r="D741" s="9" t="s">
        <v>25</v>
      </c>
      <c r="E741" s="1">
        <v>45341</v>
      </c>
      <c r="F741" s="9" t="s">
        <v>22</v>
      </c>
      <c r="G741" s="11">
        <v>15520</v>
      </c>
      <c r="H741" s="8">
        <v>68</v>
      </c>
      <c r="I741" s="8">
        <v>3</v>
      </c>
      <c r="J741" s="1" t="s">
        <v>14</v>
      </c>
    </row>
    <row r="742" spans="1:10" ht="13.8" x14ac:dyDescent="0.25">
      <c r="A742" t="s">
        <v>788</v>
      </c>
      <c r="B742" s="8">
        <v>88</v>
      </c>
      <c r="C742" s="9" t="s">
        <v>16</v>
      </c>
      <c r="D742" s="9" t="s">
        <v>25</v>
      </c>
      <c r="E742" s="1">
        <v>45096</v>
      </c>
      <c r="F742" s="9" t="s">
        <v>22</v>
      </c>
      <c r="G742" s="11">
        <v>49242</v>
      </c>
      <c r="H742" s="8">
        <v>90</v>
      </c>
      <c r="I742" s="8">
        <v>4</v>
      </c>
      <c r="J742" s="1" t="s">
        <v>38</v>
      </c>
    </row>
    <row r="743" spans="1:10" ht="13.8" x14ac:dyDescent="0.25">
      <c r="A743" t="s">
        <v>789</v>
      </c>
      <c r="B743" s="8">
        <v>43</v>
      </c>
      <c r="C743" s="9" t="s">
        <v>16</v>
      </c>
      <c r="D743" s="9" t="s">
        <v>52</v>
      </c>
      <c r="E743" s="1">
        <v>45001</v>
      </c>
      <c r="F743" s="9" t="s">
        <v>18</v>
      </c>
      <c r="G743" s="11">
        <v>25355</v>
      </c>
      <c r="H743" s="8">
        <v>87</v>
      </c>
      <c r="I743" s="8">
        <v>4</v>
      </c>
      <c r="J743" s="1" t="s">
        <v>63</v>
      </c>
    </row>
    <row r="744" spans="1:10" ht="13.8" x14ac:dyDescent="0.25">
      <c r="A744" t="s">
        <v>790</v>
      </c>
      <c r="B744" s="8">
        <v>47</v>
      </c>
      <c r="C744" s="9" t="s">
        <v>11</v>
      </c>
      <c r="D744" s="9" t="s">
        <v>21</v>
      </c>
      <c r="E744" s="1">
        <v>44950</v>
      </c>
      <c r="F744" s="9" t="s">
        <v>22</v>
      </c>
      <c r="G744" s="11">
        <v>11588</v>
      </c>
      <c r="H744" s="8">
        <v>65</v>
      </c>
      <c r="I744" s="8">
        <v>4</v>
      </c>
      <c r="J744" s="1" t="s">
        <v>95</v>
      </c>
    </row>
    <row r="745" spans="1:10" ht="13.8" x14ac:dyDescent="0.25">
      <c r="A745" t="s">
        <v>791</v>
      </c>
      <c r="B745" s="8">
        <v>35</v>
      </c>
      <c r="C745" s="9" t="s">
        <v>11</v>
      </c>
      <c r="D745" s="9" t="s">
        <v>12</v>
      </c>
      <c r="E745" s="1">
        <v>45008</v>
      </c>
      <c r="F745" s="9" t="s">
        <v>18</v>
      </c>
      <c r="G745" s="11">
        <v>30493</v>
      </c>
      <c r="H745" s="8">
        <v>49</v>
      </c>
      <c r="I745" s="8">
        <v>5</v>
      </c>
      <c r="J745" s="1" t="s">
        <v>63</v>
      </c>
    </row>
    <row r="746" spans="1:10" ht="13.8" x14ac:dyDescent="0.25">
      <c r="A746" t="s">
        <v>792</v>
      </c>
      <c r="B746" s="8">
        <v>14</v>
      </c>
      <c r="C746" s="9" t="s">
        <v>16</v>
      </c>
      <c r="D746" s="9" t="s">
        <v>62</v>
      </c>
      <c r="E746" s="1">
        <v>45378</v>
      </c>
      <c r="F746" s="9" t="s">
        <v>29</v>
      </c>
      <c r="G746" s="11">
        <v>5224</v>
      </c>
      <c r="H746" s="8">
        <v>75</v>
      </c>
      <c r="I746" s="8">
        <v>2</v>
      </c>
      <c r="J746" s="1" t="s">
        <v>48</v>
      </c>
    </row>
    <row r="747" spans="1:10" ht="13.8" x14ac:dyDescent="0.25">
      <c r="A747" t="s">
        <v>793</v>
      </c>
      <c r="B747" s="8">
        <v>49</v>
      </c>
      <c r="C747" s="9" t="s">
        <v>11</v>
      </c>
      <c r="D747" s="9" t="s">
        <v>25</v>
      </c>
      <c r="E747" s="1">
        <v>45304</v>
      </c>
      <c r="F747" s="9" t="s">
        <v>53</v>
      </c>
      <c r="G747" s="11">
        <v>8752</v>
      </c>
      <c r="H747" s="8">
        <v>98</v>
      </c>
      <c r="I747" s="8">
        <v>4</v>
      </c>
      <c r="J747" s="1" t="s">
        <v>23</v>
      </c>
    </row>
    <row r="748" spans="1:10" ht="13.8" x14ac:dyDescent="0.25">
      <c r="A748" t="s">
        <v>794</v>
      </c>
      <c r="B748" s="8">
        <v>36</v>
      </c>
      <c r="C748" s="9" t="s">
        <v>11</v>
      </c>
      <c r="D748" s="9" t="s">
        <v>62</v>
      </c>
      <c r="E748" s="1">
        <v>45540</v>
      </c>
      <c r="F748" s="9" t="s">
        <v>26</v>
      </c>
      <c r="G748" s="11">
        <v>12635</v>
      </c>
      <c r="H748" s="8">
        <v>51</v>
      </c>
      <c r="I748" s="8">
        <v>2</v>
      </c>
      <c r="J748" s="1" t="s">
        <v>45</v>
      </c>
    </row>
    <row r="749" spans="1:10" ht="13.8" x14ac:dyDescent="0.25">
      <c r="A749" t="s">
        <v>795</v>
      </c>
      <c r="B749" s="8">
        <v>4</v>
      </c>
      <c r="C749" s="9" t="s">
        <v>11</v>
      </c>
      <c r="D749" s="9" t="s">
        <v>62</v>
      </c>
      <c r="E749" s="1">
        <v>45474</v>
      </c>
      <c r="F749" s="9" t="s">
        <v>53</v>
      </c>
      <c r="G749" s="11">
        <v>9918</v>
      </c>
      <c r="H749" s="8">
        <v>85</v>
      </c>
      <c r="I749" s="8">
        <v>0</v>
      </c>
      <c r="J749" s="1" t="s">
        <v>19</v>
      </c>
    </row>
    <row r="750" spans="1:10" ht="13.8" x14ac:dyDescent="0.25">
      <c r="A750" t="s">
        <v>796</v>
      </c>
      <c r="B750" s="8">
        <v>4</v>
      </c>
      <c r="C750" s="9" t="s">
        <v>16</v>
      </c>
      <c r="D750" s="9" t="s">
        <v>62</v>
      </c>
      <c r="E750" s="1">
        <v>45122</v>
      </c>
      <c r="F750" s="9" t="s">
        <v>13</v>
      </c>
      <c r="G750" s="11">
        <v>15881</v>
      </c>
      <c r="H750" s="8">
        <v>42</v>
      </c>
      <c r="I750" s="8">
        <v>4</v>
      </c>
      <c r="J750" s="1" t="s">
        <v>78</v>
      </c>
    </row>
    <row r="751" spans="1:10" ht="13.8" x14ac:dyDescent="0.25">
      <c r="A751" t="s">
        <v>797</v>
      </c>
      <c r="B751" s="8">
        <v>47</v>
      </c>
      <c r="C751" s="9" t="s">
        <v>11</v>
      </c>
      <c r="D751" s="9" t="s">
        <v>62</v>
      </c>
      <c r="E751" s="1">
        <v>45496</v>
      </c>
      <c r="F751" s="9" t="s">
        <v>29</v>
      </c>
      <c r="G751" s="11">
        <v>16556</v>
      </c>
      <c r="H751" s="8">
        <v>77</v>
      </c>
      <c r="I751" s="8">
        <v>2</v>
      </c>
      <c r="J751" s="1" t="s">
        <v>19</v>
      </c>
    </row>
    <row r="752" spans="1:10" ht="13.8" x14ac:dyDescent="0.25">
      <c r="A752" t="s">
        <v>798</v>
      </c>
      <c r="B752" s="8">
        <v>86</v>
      </c>
      <c r="C752" s="9" t="s">
        <v>11</v>
      </c>
      <c r="D752" s="9" t="s">
        <v>12</v>
      </c>
      <c r="E752" s="1">
        <v>45093</v>
      </c>
      <c r="F752" s="9" t="s">
        <v>13</v>
      </c>
      <c r="G752" s="11">
        <v>42083</v>
      </c>
      <c r="H752" s="8">
        <v>40</v>
      </c>
      <c r="I752" s="8">
        <v>1</v>
      </c>
      <c r="J752" s="1" t="s">
        <v>38</v>
      </c>
    </row>
    <row r="753" spans="1:10" ht="13.8" x14ac:dyDescent="0.25">
      <c r="A753" t="s">
        <v>799</v>
      </c>
      <c r="B753" s="8">
        <v>8</v>
      </c>
      <c r="C753" s="9" t="s">
        <v>11</v>
      </c>
      <c r="D753" s="9" t="s">
        <v>25</v>
      </c>
      <c r="E753" s="1">
        <v>45020</v>
      </c>
      <c r="F753" s="9" t="s">
        <v>18</v>
      </c>
      <c r="G753" s="11">
        <v>2148</v>
      </c>
      <c r="H753" s="8">
        <v>74</v>
      </c>
      <c r="I753" s="8">
        <v>0</v>
      </c>
      <c r="J753" s="1" t="s">
        <v>80</v>
      </c>
    </row>
    <row r="754" spans="1:10" ht="13.8" x14ac:dyDescent="0.25">
      <c r="A754" t="s">
        <v>800</v>
      </c>
      <c r="B754" s="8">
        <v>17</v>
      </c>
      <c r="C754" s="9" t="s">
        <v>16</v>
      </c>
      <c r="D754" s="9" t="s">
        <v>21</v>
      </c>
      <c r="E754" s="1">
        <v>45333</v>
      </c>
      <c r="F754" s="9" t="s">
        <v>18</v>
      </c>
      <c r="G754" s="11">
        <v>30955</v>
      </c>
      <c r="H754" s="8">
        <v>42</v>
      </c>
      <c r="I754" s="8">
        <v>1</v>
      </c>
      <c r="J754" s="1" t="s">
        <v>14</v>
      </c>
    </row>
    <row r="755" spans="1:10" ht="13.8" x14ac:dyDescent="0.25">
      <c r="A755" t="s">
        <v>801</v>
      </c>
      <c r="B755" s="8">
        <v>28</v>
      </c>
      <c r="C755" s="9" t="s">
        <v>16</v>
      </c>
      <c r="D755" s="9" t="s">
        <v>12</v>
      </c>
      <c r="E755" s="1">
        <v>45360</v>
      </c>
      <c r="F755" s="9" t="s">
        <v>13</v>
      </c>
      <c r="G755" s="11">
        <v>28180</v>
      </c>
      <c r="H755" s="8">
        <v>52</v>
      </c>
      <c r="I755" s="8">
        <v>4</v>
      </c>
      <c r="J755" s="1" t="s">
        <v>48</v>
      </c>
    </row>
    <row r="756" spans="1:10" ht="13.8" x14ac:dyDescent="0.25">
      <c r="A756" t="s">
        <v>802</v>
      </c>
      <c r="B756" s="8">
        <v>80</v>
      </c>
      <c r="C756" s="9" t="s">
        <v>11</v>
      </c>
      <c r="D756" s="9" t="s">
        <v>62</v>
      </c>
      <c r="E756" s="1">
        <v>45365</v>
      </c>
      <c r="F756" s="9" t="s">
        <v>29</v>
      </c>
      <c r="G756" s="11">
        <v>49027</v>
      </c>
      <c r="H756" s="8">
        <v>89</v>
      </c>
      <c r="I756" s="8">
        <v>3</v>
      </c>
      <c r="J756" s="1" t="s">
        <v>48</v>
      </c>
    </row>
    <row r="757" spans="1:10" ht="13.8" x14ac:dyDescent="0.25">
      <c r="A757" t="s">
        <v>803</v>
      </c>
      <c r="B757" s="8">
        <v>73</v>
      </c>
      <c r="C757" s="9" t="s">
        <v>16</v>
      </c>
      <c r="D757" s="9" t="s">
        <v>21</v>
      </c>
      <c r="E757" s="1">
        <v>45191</v>
      </c>
      <c r="F757" s="9" t="s">
        <v>22</v>
      </c>
      <c r="G757" s="11">
        <v>16333</v>
      </c>
      <c r="H757" s="8">
        <v>44</v>
      </c>
      <c r="I757" s="8">
        <v>2</v>
      </c>
      <c r="J757" s="1" t="s">
        <v>109</v>
      </c>
    </row>
    <row r="758" spans="1:10" ht="13.8" x14ac:dyDescent="0.25">
      <c r="A758" t="s">
        <v>804</v>
      </c>
      <c r="B758" s="8">
        <v>48</v>
      </c>
      <c r="C758" s="9" t="s">
        <v>11</v>
      </c>
      <c r="D758" s="9" t="s">
        <v>62</v>
      </c>
      <c r="E758" s="1">
        <v>45291</v>
      </c>
      <c r="F758" s="9" t="s">
        <v>29</v>
      </c>
      <c r="G758" s="11">
        <v>11138</v>
      </c>
      <c r="H758" s="8">
        <v>63</v>
      </c>
      <c r="I758" s="8">
        <v>0</v>
      </c>
      <c r="J758" s="1" t="s">
        <v>57</v>
      </c>
    </row>
    <row r="759" spans="1:10" ht="13.8" x14ac:dyDescent="0.25">
      <c r="A759" t="s">
        <v>805</v>
      </c>
      <c r="B759" s="8">
        <v>57</v>
      </c>
      <c r="C759" s="9" t="s">
        <v>16</v>
      </c>
      <c r="D759" s="9" t="s">
        <v>21</v>
      </c>
      <c r="E759" s="1">
        <v>45414</v>
      </c>
      <c r="F759" s="9" t="s">
        <v>53</v>
      </c>
      <c r="G759" s="11">
        <v>35830</v>
      </c>
      <c r="H759" s="8">
        <v>46</v>
      </c>
      <c r="I759" s="8">
        <v>1</v>
      </c>
      <c r="J759" s="1" t="s">
        <v>66</v>
      </c>
    </row>
    <row r="760" spans="1:10" ht="13.8" x14ac:dyDescent="0.25">
      <c r="A760" t="s">
        <v>806</v>
      </c>
      <c r="B760" s="8">
        <v>39</v>
      </c>
      <c r="C760" s="9" t="s">
        <v>16</v>
      </c>
      <c r="D760" s="9" t="s">
        <v>21</v>
      </c>
      <c r="E760" s="1">
        <v>45304</v>
      </c>
      <c r="F760" s="9" t="s">
        <v>18</v>
      </c>
      <c r="G760" s="11">
        <v>1592</v>
      </c>
      <c r="H760" s="8">
        <v>90</v>
      </c>
      <c r="I760" s="8">
        <v>2</v>
      </c>
      <c r="J760" s="1" t="s">
        <v>23</v>
      </c>
    </row>
    <row r="761" spans="1:10" ht="13.8" x14ac:dyDescent="0.25">
      <c r="A761" t="s">
        <v>807</v>
      </c>
      <c r="B761" s="8">
        <v>72</v>
      </c>
      <c r="C761" s="9" t="s">
        <v>16</v>
      </c>
      <c r="D761" s="9" t="s">
        <v>25</v>
      </c>
      <c r="E761" s="1">
        <v>45259</v>
      </c>
      <c r="F761" s="9" t="s">
        <v>53</v>
      </c>
      <c r="G761" s="11">
        <v>34377</v>
      </c>
      <c r="H761" s="8">
        <v>93</v>
      </c>
      <c r="I761" s="8">
        <v>2</v>
      </c>
      <c r="J761" s="1" t="s">
        <v>40</v>
      </c>
    </row>
    <row r="762" spans="1:10" ht="13.8" x14ac:dyDescent="0.25">
      <c r="A762" t="s">
        <v>808</v>
      </c>
      <c r="B762" s="8">
        <v>76</v>
      </c>
      <c r="C762" s="9" t="s">
        <v>11</v>
      </c>
      <c r="D762" s="9" t="s">
        <v>17</v>
      </c>
      <c r="E762" s="1">
        <v>45584</v>
      </c>
      <c r="F762" s="9" t="s">
        <v>13</v>
      </c>
      <c r="G762" s="11">
        <v>18278</v>
      </c>
      <c r="H762" s="8">
        <v>64</v>
      </c>
      <c r="I762" s="8">
        <v>5</v>
      </c>
      <c r="J762" s="1" t="s">
        <v>92</v>
      </c>
    </row>
    <row r="763" spans="1:10" ht="13.8" x14ac:dyDescent="0.25">
      <c r="A763" t="s">
        <v>809</v>
      </c>
      <c r="B763" s="8">
        <v>63</v>
      </c>
      <c r="C763" s="9" t="s">
        <v>16</v>
      </c>
      <c r="D763" s="9" t="s">
        <v>17</v>
      </c>
      <c r="E763" s="1">
        <v>45275</v>
      </c>
      <c r="F763" s="9" t="s">
        <v>22</v>
      </c>
      <c r="G763" s="11">
        <v>27597</v>
      </c>
      <c r="H763" s="8">
        <v>50</v>
      </c>
      <c r="I763" s="8">
        <v>0</v>
      </c>
      <c r="J763" s="1" t="s">
        <v>57</v>
      </c>
    </row>
    <row r="764" spans="1:10" ht="13.8" x14ac:dyDescent="0.25">
      <c r="A764" t="s">
        <v>810</v>
      </c>
      <c r="B764" s="8">
        <v>90</v>
      </c>
      <c r="C764" s="9" t="s">
        <v>11</v>
      </c>
      <c r="D764" s="9" t="s">
        <v>17</v>
      </c>
      <c r="E764" s="1">
        <v>44953</v>
      </c>
      <c r="F764" s="9" t="s">
        <v>13</v>
      </c>
      <c r="G764" s="11">
        <v>23505</v>
      </c>
      <c r="H764" s="8">
        <v>70</v>
      </c>
      <c r="I764" s="8">
        <v>5</v>
      </c>
      <c r="J764" s="1" t="s">
        <v>95</v>
      </c>
    </row>
    <row r="765" spans="1:10" ht="13.8" x14ac:dyDescent="0.25">
      <c r="A765" t="s">
        <v>811</v>
      </c>
      <c r="B765" s="8">
        <v>33</v>
      </c>
      <c r="C765" s="9" t="s">
        <v>16</v>
      </c>
      <c r="D765" s="9" t="s">
        <v>21</v>
      </c>
      <c r="E765" s="1">
        <v>45277</v>
      </c>
      <c r="F765" s="9" t="s">
        <v>22</v>
      </c>
      <c r="G765" s="11">
        <v>7320</v>
      </c>
      <c r="H765" s="8">
        <v>93</v>
      </c>
      <c r="I765" s="8">
        <v>4</v>
      </c>
      <c r="J765" s="1" t="s">
        <v>57</v>
      </c>
    </row>
    <row r="766" spans="1:10" ht="13.8" x14ac:dyDescent="0.25">
      <c r="A766" t="s">
        <v>812</v>
      </c>
      <c r="B766" s="8">
        <v>45</v>
      </c>
      <c r="C766" s="9" t="s">
        <v>11</v>
      </c>
      <c r="D766" s="9" t="s">
        <v>52</v>
      </c>
      <c r="E766" s="1">
        <v>45190</v>
      </c>
      <c r="F766" s="9" t="s">
        <v>53</v>
      </c>
      <c r="G766" s="11">
        <v>12607</v>
      </c>
      <c r="H766" s="8">
        <v>82</v>
      </c>
      <c r="I766" s="8">
        <v>1</v>
      </c>
      <c r="J766" s="1" t="s">
        <v>109</v>
      </c>
    </row>
    <row r="767" spans="1:10" ht="13.8" x14ac:dyDescent="0.25">
      <c r="A767" t="s">
        <v>813</v>
      </c>
      <c r="B767" s="8">
        <v>66</v>
      </c>
      <c r="C767" s="9" t="s">
        <v>11</v>
      </c>
      <c r="D767" s="9" t="s">
        <v>25</v>
      </c>
      <c r="E767" s="1">
        <v>45620</v>
      </c>
      <c r="F767" s="9" t="s">
        <v>53</v>
      </c>
      <c r="G767" s="11">
        <v>1093</v>
      </c>
      <c r="H767" s="8">
        <v>76</v>
      </c>
      <c r="I767" s="8">
        <v>1</v>
      </c>
      <c r="J767" s="1" t="s">
        <v>54</v>
      </c>
    </row>
    <row r="768" spans="1:10" ht="13.8" x14ac:dyDescent="0.25">
      <c r="A768" t="s">
        <v>814</v>
      </c>
      <c r="B768" s="8">
        <v>35</v>
      </c>
      <c r="C768" s="9" t="s">
        <v>16</v>
      </c>
      <c r="D768" s="9" t="s">
        <v>21</v>
      </c>
      <c r="E768" s="1">
        <v>45603</v>
      </c>
      <c r="F768" s="9" t="s">
        <v>13</v>
      </c>
      <c r="G768" s="11">
        <v>39011</v>
      </c>
      <c r="H768" s="8">
        <v>47</v>
      </c>
      <c r="I768" s="8">
        <v>4</v>
      </c>
      <c r="J768" s="1" t="s">
        <v>54</v>
      </c>
    </row>
    <row r="769" spans="1:10" ht="13.8" x14ac:dyDescent="0.25">
      <c r="A769" t="s">
        <v>815</v>
      </c>
      <c r="B769" s="8">
        <v>52</v>
      </c>
      <c r="C769" s="9" t="s">
        <v>16</v>
      </c>
      <c r="D769" s="9" t="s">
        <v>25</v>
      </c>
      <c r="E769" s="1">
        <v>45356</v>
      </c>
      <c r="F769" s="9" t="s">
        <v>22</v>
      </c>
      <c r="G769" s="11">
        <v>16040</v>
      </c>
      <c r="H769" s="8">
        <v>84</v>
      </c>
      <c r="I769" s="8">
        <v>4</v>
      </c>
      <c r="J769" s="1" t="s">
        <v>48</v>
      </c>
    </row>
    <row r="770" spans="1:10" ht="13.8" x14ac:dyDescent="0.25">
      <c r="A770" t="s">
        <v>816</v>
      </c>
      <c r="B770" s="8">
        <v>87</v>
      </c>
      <c r="C770" s="9" t="s">
        <v>16</v>
      </c>
      <c r="D770" s="9" t="s">
        <v>25</v>
      </c>
      <c r="E770" s="1">
        <v>45220</v>
      </c>
      <c r="F770" s="9" t="s">
        <v>26</v>
      </c>
      <c r="G770" s="11">
        <v>42542</v>
      </c>
      <c r="H770" s="8">
        <v>83</v>
      </c>
      <c r="I770" s="8">
        <v>2</v>
      </c>
      <c r="J770" s="1" t="s">
        <v>27</v>
      </c>
    </row>
    <row r="771" spans="1:10" ht="13.8" x14ac:dyDescent="0.25">
      <c r="A771" t="s">
        <v>817</v>
      </c>
      <c r="B771" s="8">
        <v>32</v>
      </c>
      <c r="C771" s="9" t="s">
        <v>16</v>
      </c>
      <c r="D771" s="9" t="s">
        <v>21</v>
      </c>
      <c r="E771" s="1">
        <v>45171</v>
      </c>
      <c r="F771" s="9" t="s">
        <v>29</v>
      </c>
      <c r="G771" s="11">
        <v>27622</v>
      </c>
      <c r="H771" s="8">
        <v>68</v>
      </c>
      <c r="I771" s="8">
        <v>5</v>
      </c>
      <c r="J771" s="1" t="s">
        <v>109</v>
      </c>
    </row>
    <row r="772" spans="1:10" ht="13.8" x14ac:dyDescent="0.25">
      <c r="A772" t="s">
        <v>818</v>
      </c>
      <c r="B772" s="8">
        <v>72</v>
      </c>
      <c r="C772" s="9" t="s">
        <v>16</v>
      </c>
      <c r="D772" s="9" t="s">
        <v>21</v>
      </c>
      <c r="E772" s="1">
        <v>45606</v>
      </c>
      <c r="F772" s="9" t="s">
        <v>29</v>
      </c>
      <c r="G772" s="11">
        <v>24024</v>
      </c>
      <c r="H772" s="8">
        <v>84</v>
      </c>
      <c r="I772" s="8">
        <v>4</v>
      </c>
      <c r="J772" s="1" t="s">
        <v>54</v>
      </c>
    </row>
    <row r="773" spans="1:10" ht="13.8" x14ac:dyDescent="0.25">
      <c r="A773" t="s">
        <v>819</v>
      </c>
      <c r="B773" s="8">
        <v>58</v>
      </c>
      <c r="C773" s="9" t="s">
        <v>11</v>
      </c>
      <c r="D773" s="9" t="s">
        <v>12</v>
      </c>
      <c r="E773" s="1">
        <v>45189</v>
      </c>
      <c r="F773" s="9" t="s">
        <v>22</v>
      </c>
      <c r="G773" s="11">
        <v>8732</v>
      </c>
      <c r="H773" s="8">
        <v>64</v>
      </c>
      <c r="I773" s="8">
        <v>0</v>
      </c>
      <c r="J773" s="1" t="s">
        <v>109</v>
      </c>
    </row>
    <row r="774" spans="1:10" ht="13.8" x14ac:dyDescent="0.25">
      <c r="A774" t="s">
        <v>820</v>
      </c>
      <c r="B774" s="8">
        <v>10</v>
      </c>
      <c r="C774" s="9" t="s">
        <v>11</v>
      </c>
      <c r="D774" s="9" t="s">
        <v>25</v>
      </c>
      <c r="E774" s="1">
        <v>45382</v>
      </c>
      <c r="F774" s="9" t="s">
        <v>53</v>
      </c>
      <c r="G774" s="11">
        <v>22415</v>
      </c>
      <c r="H774" s="8">
        <v>71</v>
      </c>
      <c r="I774" s="8">
        <v>3</v>
      </c>
      <c r="J774" s="1" t="s">
        <v>48</v>
      </c>
    </row>
    <row r="775" spans="1:10" ht="13.8" x14ac:dyDescent="0.25">
      <c r="A775" t="s">
        <v>821</v>
      </c>
      <c r="B775" s="8">
        <v>19</v>
      </c>
      <c r="C775" s="9" t="s">
        <v>11</v>
      </c>
      <c r="D775" s="9" t="s">
        <v>52</v>
      </c>
      <c r="E775" s="1">
        <v>45350</v>
      </c>
      <c r="F775" s="9" t="s">
        <v>22</v>
      </c>
      <c r="G775" s="11">
        <v>49115</v>
      </c>
      <c r="H775" s="8">
        <v>52</v>
      </c>
      <c r="I775" s="8">
        <v>2</v>
      </c>
      <c r="J775" s="1" t="s">
        <v>14</v>
      </c>
    </row>
    <row r="776" spans="1:10" ht="13.8" x14ac:dyDescent="0.25">
      <c r="A776" t="s">
        <v>822</v>
      </c>
      <c r="B776" s="8">
        <v>39</v>
      </c>
      <c r="C776" s="9" t="s">
        <v>11</v>
      </c>
      <c r="D776" s="9" t="s">
        <v>17</v>
      </c>
      <c r="E776" s="1">
        <v>44947</v>
      </c>
      <c r="F776" s="9" t="s">
        <v>13</v>
      </c>
      <c r="G776" s="11">
        <v>43985</v>
      </c>
      <c r="H776" s="8">
        <v>69</v>
      </c>
      <c r="I776" s="8">
        <v>5</v>
      </c>
      <c r="J776" s="1" t="s">
        <v>95</v>
      </c>
    </row>
    <row r="777" spans="1:10" ht="13.8" x14ac:dyDescent="0.25">
      <c r="A777" t="s">
        <v>823</v>
      </c>
      <c r="B777" s="8">
        <v>85</v>
      </c>
      <c r="C777" s="9" t="s">
        <v>11</v>
      </c>
      <c r="D777" s="9" t="s">
        <v>17</v>
      </c>
      <c r="E777" s="1">
        <v>45450</v>
      </c>
      <c r="F777" s="9" t="s">
        <v>53</v>
      </c>
      <c r="G777" s="11">
        <v>45430</v>
      </c>
      <c r="H777" s="8">
        <v>79</v>
      </c>
      <c r="I777" s="8">
        <v>3</v>
      </c>
      <c r="J777" s="1" t="s">
        <v>42</v>
      </c>
    </row>
    <row r="778" spans="1:10" ht="13.8" x14ac:dyDescent="0.25">
      <c r="A778" t="s">
        <v>824</v>
      </c>
      <c r="B778" s="8">
        <v>55</v>
      </c>
      <c r="C778" s="9" t="s">
        <v>16</v>
      </c>
      <c r="D778" s="9" t="s">
        <v>62</v>
      </c>
      <c r="E778" s="1">
        <v>45332</v>
      </c>
      <c r="F778" s="9" t="s">
        <v>18</v>
      </c>
      <c r="G778" s="11">
        <v>33350</v>
      </c>
      <c r="H778" s="8">
        <v>48</v>
      </c>
      <c r="I778" s="8">
        <v>4</v>
      </c>
      <c r="J778" s="1" t="s">
        <v>14</v>
      </c>
    </row>
    <row r="779" spans="1:10" ht="13.8" x14ac:dyDescent="0.25">
      <c r="A779" t="s">
        <v>825</v>
      </c>
      <c r="B779" s="8">
        <v>75</v>
      </c>
      <c r="C779" s="9" t="s">
        <v>11</v>
      </c>
      <c r="D779" s="9" t="s">
        <v>25</v>
      </c>
      <c r="E779" s="1">
        <v>45228</v>
      </c>
      <c r="F779" s="9" t="s">
        <v>26</v>
      </c>
      <c r="G779" s="11">
        <v>7685</v>
      </c>
      <c r="H779" s="8">
        <v>76</v>
      </c>
      <c r="I779" s="8">
        <v>3</v>
      </c>
      <c r="J779" s="1" t="s">
        <v>27</v>
      </c>
    </row>
    <row r="780" spans="1:10" ht="13.8" x14ac:dyDescent="0.25">
      <c r="A780" t="s">
        <v>826</v>
      </c>
      <c r="B780" s="8">
        <v>75</v>
      </c>
      <c r="C780" s="9" t="s">
        <v>11</v>
      </c>
      <c r="D780" s="9" t="s">
        <v>12</v>
      </c>
      <c r="E780" s="1">
        <v>45521</v>
      </c>
      <c r="F780" s="9" t="s">
        <v>13</v>
      </c>
      <c r="G780" s="11">
        <v>40994</v>
      </c>
      <c r="H780" s="8">
        <v>55</v>
      </c>
      <c r="I780" s="8">
        <v>2</v>
      </c>
      <c r="J780" s="1" t="s">
        <v>33</v>
      </c>
    </row>
    <row r="781" spans="1:10" ht="13.8" x14ac:dyDescent="0.25">
      <c r="A781" t="s">
        <v>827</v>
      </c>
      <c r="B781" s="8">
        <v>3</v>
      </c>
      <c r="C781" s="9" t="s">
        <v>16</v>
      </c>
      <c r="D781" s="9" t="s">
        <v>52</v>
      </c>
      <c r="E781" s="1">
        <v>45440</v>
      </c>
      <c r="F781" s="9" t="s">
        <v>26</v>
      </c>
      <c r="G781" s="11">
        <v>27712</v>
      </c>
      <c r="H781" s="8">
        <v>48</v>
      </c>
      <c r="I781" s="8">
        <v>4</v>
      </c>
      <c r="J781" s="1" t="s">
        <v>66</v>
      </c>
    </row>
    <row r="782" spans="1:10" ht="13.8" x14ac:dyDescent="0.25">
      <c r="A782" t="s">
        <v>828</v>
      </c>
      <c r="B782" s="8">
        <v>19</v>
      </c>
      <c r="C782" s="9" t="s">
        <v>11</v>
      </c>
      <c r="D782" s="9" t="s">
        <v>62</v>
      </c>
      <c r="E782" s="1">
        <v>45275</v>
      </c>
      <c r="F782" s="9" t="s">
        <v>53</v>
      </c>
      <c r="G782" s="11">
        <v>37034</v>
      </c>
      <c r="H782" s="8">
        <v>69</v>
      </c>
      <c r="I782" s="8">
        <v>5</v>
      </c>
      <c r="J782" s="1" t="s">
        <v>57</v>
      </c>
    </row>
    <row r="783" spans="1:10" ht="13.8" x14ac:dyDescent="0.25">
      <c r="A783" t="s">
        <v>829</v>
      </c>
      <c r="B783" s="8">
        <v>21</v>
      </c>
      <c r="C783" s="9" t="s">
        <v>11</v>
      </c>
      <c r="D783" s="9" t="s">
        <v>52</v>
      </c>
      <c r="E783" s="1">
        <v>45334</v>
      </c>
      <c r="F783" s="9" t="s">
        <v>18</v>
      </c>
      <c r="G783" s="11">
        <v>10682</v>
      </c>
      <c r="H783" s="8">
        <v>46</v>
      </c>
      <c r="I783" s="8">
        <v>2</v>
      </c>
      <c r="J783" s="1" t="s">
        <v>14</v>
      </c>
    </row>
    <row r="784" spans="1:10" ht="13.8" x14ac:dyDescent="0.25">
      <c r="A784" t="s">
        <v>830</v>
      </c>
      <c r="B784" s="8">
        <v>90</v>
      </c>
      <c r="C784" s="9" t="s">
        <v>16</v>
      </c>
      <c r="D784" s="9" t="s">
        <v>17</v>
      </c>
      <c r="E784" s="1">
        <v>45350</v>
      </c>
      <c r="F784" s="9" t="s">
        <v>22</v>
      </c>
      <c r="G784" s="11">
        <v>2088</v>
      </c>
      <c r="H784" s="8">
        <v>86</v>
      </c>
      <c r="I784" s="8">
        <v>1</v>
      </c>
      <c r="J784" s="1" t="s">
        <v>14</v>
      </c>
    </row>
    <row r="785" spans="1:10" ht="13.8" x14ac:dyDescent="0.25">
      <c r="A785" t="s">
        <v>831</v>
      </c>
      <c r="B785" s="8">
        <v>44</v>
      </c>
      <c r="C785" s="9" t="s">
        <v>16</v>
      </c>
      <c r="D785" s="9" t="s">
        <v>25</v>
      </c>
      <c r="E785" s="1">
        <v>45360</v>
      </c>
      <c r="F785" s="9" t="s">
        <v>29</v>
      </c>
      <c r="G785" s="11">
        <v>12629</v>
      </c>
      <c r="H785" s="8">
        <v>69</v>
      </c>
      <c r="I785" s="8">
        <v>0</v>
      </c>
      <c r="J785" s="1" t="s">
        <v>48</v>
      </c>
    </row>
    <row r="786" spans="1:10" ht="13.8" x14ac:dyDescent="0.25">
      <c r="A786" t="s">
        <v>832</v>
      </c>
      <c r="B786" s="8">
        <v>30</v>
      </c>
      <c r="C786" s="9" t="s">
        <v>16</v>
      </c>
      <c r="D786" s="9" t="s">
        <v>17</v>
      </c>
      <c r="E786" s="1">
        <v>45454</v>
      </c>
      <c r="F786" s="9" t="s">
        <v>13</v>
      </c>
      <c r="G786" s="11">
        <v>41558</v>
      </c>
      <c r="H786" s="8">
        <v>91</v>
      </c>
      <c r="I786" s="8">
        <v>3</v>
      </c>
      <c r="J786" s="1" t="s">
        <v>42</v>
      </c>
    </row>
    <row r="787" spans="1:10" ht="13.8" x14ac:dyDescent="0.25">
      <c r="A787" t="s">
        <v>833</v>
      </c>
      <c r="B787" s="8">
        <v>41</v>
      </c>
      <c r="C787" s="9" t="s">
        <v>11</v>
      </c>
      <c r="D787" s="9" t="s">
        <v>21</v>
      </c>
      <c r="E787" s="1">
        <v>44938</v>
      </c>
      <c r="F787" s="9" t="s">
        <v>22</v>
      </c>
      <c r="G787" s="11">
        <v>14935</v>
      </c>
      <c r="H787" s="8">
        <v>76</v>
      </c>
      <c r="I787" s="8">
        <v>2</v>
      </c>
      <c r="J787" s="1" t="s">
        <v>95</v>
      </c>
    </row>
    <row r="788" spans="1:10" ht="13.8" x14ac:dyDescent="0.25">
      <c r="A788" t="s">
        <v>834</v>
      </c>
      <c r="B788" s="8">
        <v>7</v>
      </c>
      <c r="C788" s="9" t="s">
        <v>16</v>
      </c>
      <c r="D788" s="9" t="s">
        <v>25</v>
      </c>
      <c r="E788" s="1">
        <v>45240</v>
      </c>
      <c r="F788" s="9" t="s">
        <v>29</v>
      </c>
      <c r="G788" s="11">
        <v>28923</v>
      </c>
      <c r="H788" s="8">
        <v>73</v>
      </c>
      <c r="I788" s="8">
        <v>4</v>
      </c>
      <c r="J788" s="1" t="s">
        <v>40</v>
      </c>
    </row>
    <row r="789" spans="1:10" ht="13.8" x14ac:dyDescent="0.25">
      <c r="A789" t="s">
        <v>835</v>
      </c>
      <c r="B789" s="8">
        <v>32</v>
      </c>
      <c r="C789" s="9" t="s">
        <v>16</v>
      </c>
      <c r="D789" s="9" t="s">
        <v>62</v>
      </c>
      <c r="E789" s="1">
        <v>45011</v>
      </c>
      <c r="F789" s="9" t="s">
        <v>26</v>
      </c>
      <c r="G789" s="11">
        <v>2612</v>
      </c>
      <c r="H789" s="8">
        <v>96</v>
      </c>
      <c r="I789" s="8">
        <v>5</v>
      </c>
      <c r="J789" s="1" t="s">
        <v>63</v>
      </c>
    </row>
    <row r="790" spans="1:10" ht="13.8" x14ac:dyDescent="0.25">
      <c r="A790" t="s">
        <v>836</v>
      </c>
      <c r="B790" s="8">
        <v>35</v>
      </c>
      <c r="C790" s="9" t="s">
        <v>16</v>
      </c>
      <c r="D790" s="9" t="s">
        <v>21</v>
      </c>
      <c r="E790" s="1">
        <v>45479</v>
      </c>
      <c r="F790" s="9" t="s">
        <v>26</v>
      </c>
      <c r="G790" s="11">
        <v>33242</v>
      </c>
      <c r="H790" s="8">
        <v>67</v>
      </c>
      <c r="I790" s="8">
        <v>5</v>
      </c>
      <c r="J790" s="1" t="s">
        <v>19</v>
      </c>
    </row>
    <row r="791" spans="1:10" ht="13.8" x14ac:dyDescent="0.25">
      <c r="A791" t="s">
        <v>837</v>
      </c>
      <c r="B791" s="8">
        <v>28</v>
      </c>
      <c r="C791" s="9" t="s">
        <v>16</v>
      </c>
      <c r="D791" s="9" t="s">
        <v>21</v>
      </c>
      <c r="E791" s="1">
        <v>44997</v>
      </c>
      <c r="F791" s="9" t="s">
        <v>18</v>
      </c>
      <c r="G791" s="11">
        <v>29997</v>
      </c>
      <c r="H791" s="8">
        <v>45</v>
      </c>
      <c r="I791" s="8">
        <v>4</v>
      </c>
      <c r="J791" s="1" t="s">
        <v>63</v>
      </c>
    </row>
    <row r="792" spans="1:10" ht="13.8" x14ac:dyDescent="0.25">
      <c r="A792" t="s">
        <v>838</v>
      </c>
      <c r="B792" s="8">
        <v>89</v>
      </c>
      <c r="C792" s="9" t="s">
        <v>16</v>
      </c>
      <c r="D792" s="9" t="s">
        <v>52</v>
      </c>
      <c r="E792" s="1">
        <v>45317</v>
      </c>
      <c r="F792" s="9" t="s">
        <v>13</v>
      </c>
      <c r="G792" s="11">
        <v>8268</v>
      </c>
      <c r="H792" s="8">
        <v>96</v>
      </c>
      <c r="I792" s="8">
        <v>1</v>
      </c>
      <c r="J792" s="1" t="s">
        <v>23</v>
      </c>
    </row>
    <row r="793" spans="1:10" ht="13.8" x14ac:dyDescent="0.25">
      <c r="A793" t="s">
        <v>839</v>
      </c>
      <c r="B793" s="8">
        <v>13</v>
      </c>
      <c r="C793" s="9" t="s">
        <v>16</v>
      </c>
      <c r="D793" s="9" t="s">
        <v>21</v>
      </c>
      <c r="E793" s="1">
        <v>45246</v>
      </c>
      <c r="F793" s="9" t="s">
        <v>53</v>
      </c>
      <c r="G793" s="11">
        <v>40816</v>
      </c>
      <c r="H793" s="8">
        <v>82</v>
      </c>
      <c r="I793" s="8">
        <v>2</v>
      </c>
      <c r="J793" s="1" t="s">
        <v>40</v>
      </c>
    </row>
    <row r="794" spans="1:10" ht="13.8" x14ac:dyDescent="0.25">
      <c r="A794" t="s">
        <v>840</v>
      </c>
      <c r="B794" s="8">
        <v>31</v>
      </c>
      <c r="C794" s="9" t="s">
        <v>11</v>
      </c>
      <c r="D794" s="9" t="s">
        <v>17</v>
      </c>
      <c r="E794" s="1">
        <v>45596</v>
      </c>
      <c r="F794" s="9" t="s">
        <v>29</v>
      </c>
      <c r="G794" s="11">
        <v>37476</v>
      </c>
      <c r="H794" s="8">
        <v>47</v>
      </c>
      <c r="I794" s="8">
        <v>0</v>
      </c>
      <c r="J794" s="1" t="s">
        <v>92</v>
      </c>
    </row>
    <row r="795" spans="1:10" ht="13.8" x14ac:dyDescent="0.25">
      <c r="A795" t="s">
        <v>841</v>
      </c>
      <c r="B795" s="8">
        <v>32</v>
      </c>
      <c r="C795" s="9" t="s">
        <v>11</v>
      </c>
      <c r="D795" s="9" t="s">
        <v>25</v>
      </c>
      <c r="E795" s="1">
        <v>45049</v>
      </c>
      <c r="F795" s="9" t="s">
        <v>13</v>
      </c>
      <c r="G795" s="11">
        <v>48851</v>
      </c>
      <c r="H795" s="8">
        <v>72</v>
      </c>
      <c r="I795" s="8">
        <v>2</v>
      </c>
      <c r="J795" s="1" t="s">
        <v>35</v>
      </c>
    </row>
    <row r="796" spans="1:10" ht="13.8" x14ac:dyDescent="0.25">
      <c r="A796" t="s">
        <v>842</v>
      </c>
      <c r="B796" s="8">
        <v>23</v>
      </c>
      <c r="C796" s="9" t="s">
        <v>16</v>
      </c>
      <c r="D796" s="9" t="s">
        <v>12</v>
      </c>
      <c r="E796" s="1">
        <v>45034</v>
      </c>
      <c r="F796" s="9" t="s">
        <v>53</v>
      </c>
      <c r="G796" s="11">
        <v>9459</v>
      </c>
      <c r="H796" s="8">
        <v>60</v>
      </c>
      <c r="I796" s="8">
        <v>1</v>
      </c>
      <c r="J796" s="1" t="s">
        <v>80</v>
      </c>
    </row>
    <row r="797" spans="1:10" ht="13.8" x14ac:dyDescent="0.25">
      <c r="A797" t="s">
        <v>843</v>
      </c>
      <c r="B797" s="8">
        <v>48</v>
      </c>
      <c r="C797" s="9" t="s">
        <v>11</v>
      </c>
      <c r="D797" s="9" t="s">
        <v>17</v>
      </c>
      <c r="E797" s="1">
        <v>45423</v>
      </c>
      <c r="F797" s="9" t="s">
        <v>22</v>
      </c>
      <c r="G797" s="11">
        <v>48993</v>
      </c>
      <c r="H797" s="8">
        <v>56</v>
      </c>
      <c r="I797" s="8">
        <v>3</v>
      </c>
      <c r="J797" s="1" t="s">
        <v>66</v>
      </c>
    </row>
    <row r="798" spans="1:10" ht="13.8" x14ac:dyDescent="0.25">
      <c r="A798" t="s">
        <v>844</v>
      </c>
      <c r="B798" s="8">
        <v>13</v>
      </c>
      <c r="C798" s="9" t="s">
        <v>11</v>
      </c>
      <c r="D798" s="9" t="s">
        <v>52</v>
      </c>
      <c r="E798" s="1">
        <v>45520</v>
      </c>
      <c r="F798" s="9" t="s">
        <v>18</v>
      </c>
      <c r="G798" s="11">
        <v>45040</v>
      </c>
      <c r="H798" s="8">
        <v>71</v>
      </c>
      <c r="I798" s="8">
        <v>2</v>
      </c>
      <c r="J798" s="1" t="s">
        <v>33</v>
      </c>
    </row>
    <row r="799" spans="1:10" ht="13.8" x14ac:dyDescent="0.25">
      <c r="A799" t="s">
        <v>845</v>
      </c>
      <c r="B799" s="8">
        <v>3</v>
      </c>
      <c r="C799" s="9" t="s">
        <v>11</v>
      </c>
      <c r="D799" s="9" t="s">
        <v>12</v>
      </c>
      <c r="E799" s="1">
        <v>45006</v>
      </c>
      <c r="F799" s="9" t="s">
        <v>29</v>
      </c>
      <c r="G799" s="11">
        <v>29353</v>
      </c>
      <c r="H799" s="8">
        <v>46</v>
      </c>
      <c r="I799" s="8">
        <v>4</v>
      </c>
      <c r="J799" s="1" t="s">
        <v>63</v>
      </c>
    </row>
    <row r="800" spans="1:10" ht="13.8" x14ac:dyDescent="0.25">
      <c r="A800" t="s">
        <v>846</v>
      </c>
      <c r="B800" s="8">
        <v>78</v>
      </c>
      <c r="C800" s="9" t="s">
        <v>16</v>
      </c>
      <c r="D800" s="9" t="s">
        <v>25</v>
      </c>
      <c r="E800" s="1">
        <v>45344</v>
      </c>
      <c r="F800" s="9" t="s">
        <v>53</v>
      </c>
      <c r="G800" s="11">
        <v>26384</v>
      </c>
      <c r="H800" s="8">
        <v>83</v>
      </c>
      <c r="I800" s="8">
        <v>5</v>
      </c>
      <c r="J800" s="1" t="s">
        <v>14</v>
      </c>
    </row>
    <row r="801" spans="1:10" ht="13.8" x14ac:dyDescent="0.25">
      <c r="A801" t="s">
        <v>847</v>
      </c>
      <c r="B801" s="8">
        <v>28</v>
      </c>
      <c r="C801" s="9" t="s">
        <v>11</v>
      </c>
      <c r="D801" s="9" t="s">
        <v>17</v>
      </c>
      <c r="E801" s="1">
        <v>45438</v>
      </c>
      <c r="F801" s="9" t="s">
        <v>26</v>
      </c>
      <c r="G801" s="11">
        <v>671</v>
      </c>
      <c r="H801" s="8">
        <v>74</v>
      </c>
      <c r="I801" s="8">
        <v>3</v>
      </c>
      <c r="J801" s="1" t="s">
        <v>66</v>
      </c>
    </row>
    <row r="802" spans="1:10" ht="13.8" x14ac:dyDescent="0.25">
      <c r="A802" t="s">
        <v>848</v>
      </c>
      <c r="B802" s="8">
        <v>68</v>
      </c>
      <c r="C802" s="9" t="s">
        <v>11</v>
      </c>
      <c r="D802" s="9" t="s">
        <v>52</v>
      </c>
      <c r="E802" s="1">
        <v>45078</v>
      </c>
      <c r="F802" s="9" t="s">
        <v>53</v>
      </c>
      <c r="G802" s="11">
        <v>26214</v>
      </c>
      <c r="H802" s="8">
        <v>68</v>
      </c>
      <c r="I802" s="8">
        <v>1</v>
      </c>
      <c r="J802" s="1" t="s">
        <v>38</v>
      </c>
    </row>
    <row r="803" spans="1:10" ht="13.8" x14ac:dyDescent="0.25">
      <c r="A803" t="s">
        <v>849</v>
      </c>
      <c r="B803" s="8">
        <v>8</v>
      </c>
      <c r="C803" s="9" t="s">
        <v>11</v>
      </c>
      <c r="D803" s="9" t="s">
        <v>52</v>
      </c>
      <c r="E803" s="1">
        <v>45199</v>
      </c>
      <c r="F803" s="9" t="s">
        <v>18</v>
      </c>
      <c r="G803" s="11">
        <v>6704</v>
      </c>
      <c r="H803" s="8">
        <v>94</v>
      </c>
      <c r="I803" s="8">
        <v>4</v>
      </c>
      <c r="J803" s="1" t="s">
        <v>109</v>
      </c>
    </row>
    <row r="804" spans="1:10" ht="13.8" x14ac:dyDescent="0.25">
      <c r="A804" t="s">
        <v>850</v>
      </c>
      <c r="B804" s="8">
        <v>66</v>
      </c>
      <c r="C804" s="9" t="s">
        <v>16</v>
      </c>
      <c r="D804" s="9" t="s">
        <v>25</v>
      </c>
      <c r="E804" s="1">
        <v>44928</v>
      </c>
      <c r="F804" s="9" t="s">
        <v>53</v>
      </c>
      <c r="G804" s="11">
        <v>17738</v>
      </c>
      <c r="H804" s="8">
        <v>82</v>
      </c>
      <c r="I804" s="8">
        <v>0</v>
      </c>
      <c r="J804" s="1" t="s">
        <v>95</v>
      </c>
    </row>
    <row r="805" spans="1:10" ht="13.8" x14ac:dyDescent="0.25">
      <c r="A805" t="s">
        <v>851</v>
      </c>
      <c r="B805" s="8">
        <v>79</v>
      </c>
      <c r="C805" s="9" t="s">
        <v>11</v>
      </c>
      <c r="D805" s="9" t="s">
        <v>21</v>
      </c>
      <c r="E805" s="1">
        <v>45082</v>
      </c>
      <c r="F805" s="9" t="s">
        <v>13</v>
      </c>
      <c r="G805" s="11">
        <v>5567</v>
      </c>
      <c r="H805" s="8">
        <v>56</v>
      </c>
      <c r="I805" s="8">
        <v>2</v>
      </c>
      <c r="J805" s="1" t="s">
        <v>38</v>
      </c>
    </row>
    <row r="806" spans="1:10" ht="13.8" x14ac:dyDescent="0.25">
      <c r="A806" t="s">
        <v>852</v>
      </c>
      <c r="B806" s="8">
        <v>49</v>
      </c>
      <c r="C806" s="9" t="s">
        <v>16</v>
      </c>
      <c r="D806" s="9" t="s">
        <v>25</v>
      </c>
      <c r="E806" s="1">
        <v>45286</v>
      </c>
      <c r="F806" s="9" t="s">
        <v>53</v>
      </c>
      <c r="G806" s="11">
        <v>7768</v>
      </c>
      <c r="H806" s="8">
        <v>85</v>
      </c>
      <c r="I806" s="8">
        <v>5</v>
      </c>
      <c r="J806" s="1" t="s">
        <v>57</v>
      </c>
    </row>
    <row r="807" spans="1:10" ht="13.8" x14ac:dyDescent="0.25">
      <c r="A807" t="s">
        <v>853</v>
      </c>
      <c r="B807" s="8">
        <v>61</v>
      </c>
      <c r="C807" s="9" t="s">
        <v>16</v>
      </c>
      <c r="D807" s="9" t="s">
        <v>52</v>
      </c>
      <c r="E807" s="1">
        <v>45528</v>
      </c>
      <c r="F807" s="9" t="s">
        <v>53</v>
      </c>
      <c r="G807" s="11">
        <v>14891</v>
      </c>
      <c r="H807" s="8">
        <v>73</v>
      </c>
      <c r="I807" s="8">
        <v>2</v>
      </c>
      <c r="J807" s="1" t="s">
        <v>33</v>
      </c>
    </row>
    <row r="808" spans="1:10" ht="13.8" x14ac:dyDescent="0.25">
      <c r="A808" t="s">
        <v>854</v>
      </c>
      <c r="B808" s="8">
        <v>68</v>
      </c>
      <c r="C808" s="9" t="s">
        <v>16</v>
      </c>
      <c r="D808" s="9" t="s">
        <v>62</v>
      </c>
      <c r="E808" s="1">
        <v>45040</v>
      </c>
      <c r="F808" s="9" t="s">
        <v>18</v>
      </c>
      <c r="G808" s="11">
        <v>9422</v>
      </c>
      <c r="H808" s="8">
        <v>70</v>
      </c>
      <c r="I808" s="8">
        <v>1</v>
      </c>
      <c r="J808" s="1" t="s">
        <v>80</v>
      </c>
    </row>
    <row r="809" spans="1:10" ht="13.8" x14ac:dyDescent="0.25">
      <c r="A809" t="s">
        <v>855</v>
      </c>
      <c r="B809" s="8">
        <v>3</v>
      </c>
      <c r="C809" s="9" t="s">
        <v>16</v>
      </c>
      <c r="D809" s="9" t="s">
        <v>17</v>
      </c>
      <c r="E809" s="1">
        <v>45065</v>
      </c>
      <c r="F809" s="9" t="s">
        <v>26</v>
      </c>
      <c r="G809" s="11">
        <v>32076</v>
      </c>
      <c r="H809" s="8">
        <v>49</v>
      </c>
      <c r="I809" s="8">
        <v>0</v>
      </c>
      <c r="J809" s="1" t="s">
        <v>35</v>
      </c>
    </row>
    <row r="810" spans="1:10" ht="13.8" x14ac:dyDescent="0.25">
      <c r="A810" t="s">
        <v>856</v>
      </c>
      <c r="B810" s="8">
        <v>15</v>
      </c>
      <c r="C810" s="9" t="s">
        <v>11</v>
      </c>
      <c r="D810" s="9" t="s">
        <v>25</v>
      </c>
      <c r="E810" s="1">
        <v>45315</v>
      </c>
      <c r="F810" s="9" t="s">
        <v>53</v>
      </c>
      <c r="G810" s="11">
        <v>8867</v>
      </c>
      <c r="H810" s="8">
        <v>100</v>
      </c>
      <c r="I810" s="8">
        <v>4</v>
      </c>
      <c r="J810" s="1" t="s">
        <v>23</v>
      </c>
    </row>
    <row r="811" spans="1:10" ht="13.8" x14ac:dyDescent="0.25">
      <c r="A811" t="s">
        <v>857</v>
      </c>
      <c r="B811" s="8">
        <v>41</v>
      </c>
      <c r="C811" s="9" t="s">
        <v>16</v>
      </c>
      <c r="D811" s="9" t="s">
        <v>52</v>
      </c>
      <c r="E811" s="1">
        <v>45465</v>
      </c>
      <c r="F811" s="9" t="s">
        <v>29</v>
      </c>
      <c r="G811" s="11">
        <v>46722</v>
      </c>
      <c r="H811" s="8">
        <v>97</v>
      </c>
      <c r="I811" s="8">
        <v>2</v>
      </c>
      <c r="J811" s="1" t="s">
        <v>42</v>
      </c>
    </row>
    <row r="812" spans="1:10" ht="13.8" x14ac:dyDescent="0.25">
      <c r="A812" t="s">
        <v>858</v>
      </c>
      <c r="B812" s="8">
        <v>47</v>
      </c>
      <c r="C812" s="9" t="s">
        <v>16</v>
      </c>
      <c r="D812" s="9" t="s">
        <v>21</v>
      </c>
      <c r="E812" s="1">
        <v>45135</v>
      </c>
      <c r="F812" s="9" t="s">
        <v>18</v>
      </c>
      <c r="G812" s="11">
        <v>32928</v>
      </c>
      <c r="H812" s="8">
        <v>95</v>
      </c>
      <c r="I812" s="8">
        <v>1</v>
      </c>
      <c r="J812" s="1" t="s">
        <v>78</v>
      </c>
    </row>
    <row r="813" spans="1:10" ht="13.8" x14ac:dyDescent="0.25">
      <c r="A813" t="s">
        <v>859</v>
      </c>
      <c r="B813" s="8">
        <v>54</v>
      </c>
      <c r="C813" s="9" t="s">
        <v>16</v>
      </c>
      <c r="D813" s="9" t="s">
        <v>62</v>
      </c>
      <c r="E813" s="1">
        <v>45277</v>
      </c>
      <c r="F813" s="9" t="s">
        <v>18</v>
      </c>
      <c r="G813" s="11">
        <v>31107</v>
      </c>
      <c r="H813" s="8">
        <v>65</v>
      </c>
      <c r="I813" s="8">
        <v>0</v>
      </c>
      <c r="J813" s="1" t="s">
        <v>57</v>
      </c>
    </row>
    <row r="814" spans="1:10" ht="13.8" x14ac:dyDescent="0.25">
      <c r="A814" t="s">
        <v>860</v>
      </c>
      <c r="B814" s="8">
        <v>6</v>
      </c>
      <c r="C814" s="9" t="s">
        <v>16</v>
      </c>
      <c r="D814" s="9" t="s">
        <v>25</v>
      </c>
      <c r="E814" s="1">
        <v>45146</v>
      </c>
      <c r="F814" s="9" t="s">
        <v>29</v>
      </c>
      <c r="G814" s="11">
        <v>32668</v>
      </c>
      <c r="H814" s="8">
        <v>84</v>
      </c>
      <c r="I814" s="8">
        <v>3</v>
      </c>
      <c r="J814" s="1" t="s">
        <v>30</v>
      </c>
    </row>
    <row r="815" spans="1:10" ht="13.8" x14ac:dyDescent="0.25">
      <c r="A815" t="s">
        <v>861</v>
      </c>
      <c r="B815" s="8">
        <v>53</v>
      </c>
      <c r="C815" s="9" t="s">
        <v>11</v>
      </c>
      <c r="D815" s="9" t="s">
        <v>12</v>
      </c>
      <c r="E815" s="1">
        <v>45301</v>
      </c>
      <c r="F815" s="9" t="s">
        <v>26</v>
      </c>
      <c r="G815" s="11">
        <v>31033</v>
      </c>
      <c r="H815" s="8">
        <v>79</v>
      </c>
      <c r="I815" s="8">
        <v>5</v>
      </c>
      <c r="J815" s="1" t="s">
        <v>23</v>
      </c>
    </row>
    <row r="816" spans="1:10" ht="13.8" x14ac:dyDescent="0.25">
      <c r="A816" t="s">
        <v>862</v>
      </c>
      <c r="B816" s="8">
        <v>50</v>
      </c>
      <c r="C816" s="9" t="s">
        <v>11</v>
      </c>
      <c r="D816" s="9" t="s">
        <v>25</v>
      </c>
      <c r="E816" s="1">
        <v>44982</v>
      </c>
      <c r="F816" s="9" t="s">
        <v>22</v>
      </c>
      <c r="G816" s="11">
        <v>45234</v>
      </c>
      <c r="H816" s="8">
        <v>55</v>
      </c>
      <c r="I816" s="8">
        <v>0</v>
      </c>
      <c r="J816" s="1" t="s">
        <v>126</v>
      </c>
    </row>
    <row r="817" spans="1:10" ht="13.8" x14ac:dyDescent="0.25">
      <c r="A817" t="s">
        <v>863</v>
      </c>
      <c r="B817" s="8">
        <v>27</v>
      </c>
      <c r="C817" s="9" t="s">
        <v>16</v>
      </c>
      <c r="D817" s="9" t="s">
        <v>52</v>
      </c>
      <c r="E817" s="1">
        <v>45549</v>
      </c>
      <c r="F817" s="9" t="s">
        <v>18</v>
      </c>
      <c r="G817" s="11">
        <v>35939</v>
      </c>
      <c r="H817" s="8">
        <v>95</v>
      </c>
      <c r="I817" s="8">
        <v>1</v>
      </c>
      <c r="J817" s="1" t="s">
        <v>45</v>
      </c>
    </row>
    <row r="818" spans="1:10" ht="13.8" x14ac:dyDescent="0.25">
      <c r="A818" t="s">
        <v>864</v>
      </c>
      <c r="B818" s="8">
        <v>54</v>
      </c>
      <c r="C818" s="9" t="s">
        <v>16</v>
      </c>
      <c r="D818" s="9" t="s">
        <v>21</v>
      </c>
      <c r="E818" s="1">
        <v>44988</v>
      </c>
      <c r="F818" s="9" t="s">
        <v>29</v>
      </c>
      <c r="G818" s="11">
        <v>46993</v>
      </c>
      <c r="H818" s="8">
        <v>96</v>
      </c>
      <c r="I818" s="8">
        <v>2</v>
      </c>
      <c r="J818" s="1" t="s">
        <v>63</v>
      </c>
    </row>
    <row r="819" spans="1:10" ht="13.8" x14ac:dyDescent="0.25">
      <c r="A819" t="s">
        <v>865</v>
      </c>
      <c r="B819" s="8">
        <v>71</v>
      </c>
      <c r="C819" s="9" t="s">
        <v>16</v>
      </c>
      <c r="D819" s="9" t="s">
        <v>12</v>
      </c>
      <c r="E819" s="1">
        <v>45424</v>
      </c>
      <c r="F819" s="9" t="s">
        <v>26</v>
      </c>
      <c r="G819" s="11">
        <v>31235</v>
      </c>
      <c r="H819" s="8">
        <v>90</v>
      </c>
      <c r="I819" s="8">
        <v>3</v>
      </c>
      <c r="J819" s="1" t="s">
        <v>66</v>
      </c>
    </row>
    <row r="820" spans="1:10" ht="13.8" x14ac:dyDescent="0.25">
      <c r="A820" t="s">
        <v>866</v>
      </c>
      <c r="B820" s="8">
        <v>85</v>
      </c>
      <c r="C820" s="9" t="s">
        <v>11</v>
      </c>
      <c r="D820" s="9" t="s">
        <v>17</v>
      </c>
      <c r="E820" s="1">
        <v>45340</v>
      </c>
      <c r="F820" s="9" t="s">
        <v>26</v>
      </c>
      <c r="G820" s="11">
        <v>29351</v>
      </c>
      <c r="H820" s="8">
        <v>59</v>
      </c>
      <c r="I820" s="8">
        <v>5</v>
      </c>
      <c r="J820" s="1" t="s">
        <v>14</v>
      </c>
    </row>
    <row r="821" spans="1:10" ht="13.8" x14ac:dyDescent="0.25">
      <c r="A821" t="s">
        <v>867</v>
      </c>
      <c r="B821" s="8">
        <v>63</v>
      </c>
      <c r="C821" s="9" t="s">
        <v>16</v>
      </c>
      <c r="D821" s="9" t="s">
        <v>21</v>
      </c>
      <c r="E821" s="1">
        <v>44941</v>
      </c>
      <c r="F821" s="9" t="s">
        <v>22</v>
      </c>
      <c r="G821" s="11">
        <v>12506</v>
      </c>
      <c r="H821" s="8">
        <v>82</v>
      </c>
      <c r="I821" s="8">
        <v>3</v>
      </c>
      <c r="J821" s="1" t="s">
        <v>95</v>
      </c>
    </row>
    <row r="822" spans="1:10" ht="13.8" x14ac:dyDescent="0.25">
      <c r="A822" t="s">
        <v>868</v>
      </c>
      <c r="B822" s="8">
        <v>32</v>
      </c>
      <c r="C822" s="9" t="s">
        <v>16</v>
      </c>
      <c r="D822" s="9" t="s">
        <v>21</v>
      </c>
      <c r="E822" s="1">
        <v>45513</v>
      </c>
      <c r="F822" s="9" t="s">
        <v>18</v>
      </c>
      <c r="G822" s="11">
        <v>4823</v>
      </c>
      <c r="H822" s="8">
        <v>54</v>
      </c>
      <c r="I822" s="8">
        <v>4</v>
      </c>
      <c r="J822" s="1" t="s">
        <v>33</v>
      </c>
    </row>
    <row r="823" spans="1:10" ht="13.8" x14ac:dyDescent="0.25">
      <c r="A823" t="s">
        <v>869</v>
      </c>
      <c r="B823" s="8">
        <v>84</v>
      </c>
      <c r="C823" s="9" t="s">
        <v>11</v>
      </c>
      <c r="D823" s="9" t="s">
        <v>17</v>
      </c>
      <c r="E823" s="1">
        <v>45577</v>
      </c>
      <c r="F823" s="9" t="s">
        <v>26</v>
      </c>
      <c r="G823" s="11">
        <v>35947</v>
      </c>
      <c r="H823" s="8">
        <v>66</v>
      </c>
      <c r="I823" s="8">
        <v>0</v>
      </c>
      <c r="J823" s="1" t="s">
        <v>92</v>
      </c>
    </row>
    <row r="824" spans="1:10" ht="13.8" x14ac:dyDescent="0.25">
      <c r="A824" t="s">
        <v>870</v>
      </c>
      <c r="B824" s="8">
        <v>72</v>
      </c>
      <c r="C824" s="9" t="s">
        <v>11</v>
      </c>
      <c r="D824" s="9" t="s">
        <v>17</v>
      </c>
      <c r="E824" s="1">
        <v>45547</v>
      </c>
      <c r="F824" s="9" t="s">
        <v>18</v>
      </c>
      <c r="G824" s="11">
        <v>17899</v>
      </c>
      <c r="H824" s="8">
        <v>91</v>
      </c>
      <c r="I824" s="8">
        <v>5</v>
      </c>
      <c r="J824" s="1" t="s">
        <v>45</v>
      </c>
    </row>
    <row r="825" spans="1:10" ht="13.8" x14ac:dyDescent="0.25">
      <c r="A825" t="s">
        <v>871</v>
      </c>
      <c r="B825" s="8">
        <v>71</v>
      </c>
      <c r="C825" s="9" t="s">
        <v>11</v>
      </c>
      <c r="D825" s="9" t="s">
        <v>52</v>
      </c>
      <c r="E825" s="1">
        <v>44973</v>
      </c>
      <c r="F825" s="9" t="s">
        <v>22</v>
      </c>
      <c r="G825" s="11">
        <v>16704</v>
      </c>
      <c r="H825" s="8">
        <v>100</v>
      </c>
      <c r="I825" s="8">
        <v>5</v>
      </c>
      <c r="J825" s="1" t="s">
        <v>126</v>
      </c>
    </row>
    <row r="826" spans="1:10" ht="13.8" x14ac:dyDescent="0.25">
      <c r="A826" t="s">
        <v>872</v>
      </c>
      <c r="B826" s="8">
        <v>51</v>
      </c>
      <c r="C826" s="9" t="s">
        <v>16</v>
      </c>
      <c r="D826" s="9" t="s">
        <v>21</v>
      </c>
      <c r="E826" s="1">
        <v>45480</v>
      </c>
      <c r="F826" s="9" t="s">
        <v>53</v>
      </c>
      <c r="G826" s="11">
        <v>47071</v>
      </c>
      <c r="H826" s="8">
        <v>97</v>
      </c>
      <c r="I826" s="8">
        <v>5</v>
      </c>
      <c r="J826" s="1" t="s">
        <v>19</v>
      </c>
    </row>
    <row r="827" spans="1:10" ht="13.8" x14ac:dyDescent="0.25">
      <c r="A827" t="s">
        <v>873</v>
      </c>
      <c r="B827" s="8">
        <v>68</v>
      </c>
      <c r="C827" s="9" t="s">
        <v>16</v>
      </c>
      <c r="D827" s="9" t="s">
        <v>12</v>
      </c>
      <c r="E827" s="1">
        <v>45239</v>
      </c>
      <c r="F827" s="9" t="s">
        <v>29</v>
      </c>
      <c r="G827" s="11">
        <v>1444</v>
      </c>
      <c r="H827" s="8">
        <v>71</v>
      </c>
      <c r="I827" s="8">
        <v>0</v>
      </c>
      <c r="J827" s="1" t="s">
        <v>40</v>
      </c>
    </row>
    <row r="828" spans="1:10" ht="13.8" x14ac:dyDescent="0.25">
      <c r="A828" t="s">
        <v>874</v>
      </c>
      <c r="B828" s="8">
        <v>82</v>
      </c>
      <c r="C828" s="9" t="s">
        <v>16</v>
      </c>
      <c r="D828" s="9" t="s">
        <v>25</v>
      </c>
      <c r="E828" s="1">
        <v>45392</v>
      </c>
      <c r="F828" s="9" t="s">
        <v>53</v>
      </c>
      <c r="G828" s="11">
        <v>31752</v>
      </c>
      <c r="H828" s="8">
        <v>100</v>
      </c>
      <c r="I828" s="8">
        <v>1</v>
      </c>
      <c r="J828" s="1" t="s">
        <v>50</v>
      </c>
    </row>
    <row r="829" spans="1:10" ht="13.8" x14ac:dyDescent="0.25">
      <c r="A829" t="s">
        <v>875</v>
      </c>
      <c r="B829" s="8">
        <v>11</v>
      </c>
      <c r="C829" s="9" t="s">
        <v>11</v>
      </c>
      <c r="D829" s="9" t="s">
        <v>62</v>
      </c>
      <c r="E829" s="1">
        <v>45389</v>
      </c>
      <c r="F829" s="9" t="s">
        <v>13</v>
      </c>
      <c r="G829" s="11">
        <v>22748</v>
      </c>
      <c r="H829" s="8">
        <v>41</v>
      </c>
      <c r="I829" s="8">
        <v>3</v>
      </c>
      <c r="J829" s="1" t="s">
        <v>50</v>
      </c>
    </row>
    <row r="830" spans="1:10" ht="13.8" x14ac:dyDescent="0.25">
      <c r="A830" t="s">
        <v>876</v>
      </c>
      <c r="B830" s="8">
        <v>71</v>
      </c>
      <c r="C830" s="9" t="s">
        <v>11</v>
      </c>
      <c r="D830" s="9" t="s">
        <v>52</v>
      </c>
      <c r="E830" s="1">
        <v>45170</v>
      </c>
      <c r="F830" s="9" t="s">
        <v>13</v>
      </c>
      <c r="G830" s="11">
        <v>35267</v>
      </c>
      <c r="H830" s="8">
        <v>70</v>
      </c>
      <c r="I830" s="8">
        <v>0</v>
      </c>
      <c r="J830" s="1" t="s">
        <v>109</v>
      </c>
    </row>
    <row r="831" spans="1:10" ht="13.8" x14ac:dyDescent="0.25">
      <c r="A831" t="s">
        <v>877</v>
      </c>
      <c r="B831" s="8">
        <v>6</v>
      </c>
      <c r="C831" s="9" t="s">
        <v>16</v>
      </c>
      <c r="D831" s="9" t="s">
        <v>21</v>
      </c>
      <c r="E831" s="1">
        <v>45536</v>
      </c>
      <c r="F831" s="9" t="s">
        <v>13</v>
      </c>
      <c r="G831" s="11">
        <v>8679</v>
      </c>
      <c r="H831" s="8">
        <v>85</v>
      </c>
      <c r="I831" s="8">
        <v>4</v>
      </c>
      <c r="J831" s="1" t="s">
        <v>45</v>
      </c>
    </row>
    <row r="832" spans="1:10" ht="13.8" x14ac:dyDescent="0.25">
      <c r="A832" t="s">
        <v>878</v>
      </c>
      <c r="B832" s="8">
        <v>31</v>
      </c>
      <c r="C832" s="9" t="s">
        <v>16</v>
      </c>
      <c r="D832" s="9" t="s">
        <v>52</v>
      </c>
      <c r="E832" s="1">
        <v>45426</v>
      </c>
      <c r="F832" s="9" t="s">
        <v>13</v>
      </c>
      <c r="G832" s="11">
        <v>21101</v>
      </c>
      <c r="H832" s="8">
        <v>95</v>
      </c>
      <c r="I832" s="8">
        <v>3</v>
      </c>
      <c r="J832" s="1" t="s">
        <v>66</v>
      </c>
    </row>
    <row r="833" spans="1:10" ht="13.8" x14ac:dyDescent="0.25">
      <c r="A833" t="s">
        <v>879</v>
      </c>
      <c r="B833" s="8">
        <v>55</v>
      </c>
      <c r="C833" s="9" t="s">
        <v>16</v>
      </c>
      <c r="D833" s="9" t="s">
        <v>21</v>
      </c>
      <c r="E833" s="1">
        <v>44940</v>
      </c>
      <c r="F833" s="9" t="s">
        <v>18</v>
      </c>
      <c r="G833" s="11">
        <v>46524</v>
      </c>
      <c r="H833" s="8">
        <v>53</v>
      </c>
      <c r="I833" s="8">
        <v>1</v>
      </c>
      <c r="J833" s="1" t="s">
        <v>95</v>
      </c>
    </row>
    <row r="834" spans="1:10" ht="13.8" x14ac:dyDescent="0.25">
      <c r="A834" t="s">
        <v>880</v>
      </c>
      <c r="B834" s="8">
        <v>52</v>
      </c>
      <c r="C834" s="9" t="s">
        <v>16</v>
      </c>
      <c r="D834" s="9" t="s">
        <v>12</v>
      </c>
      <c r="E834" s="1">
        <v>45279</v>
      </c>
      <c r="F834" s="9" t="s">
        <v>29</v>
      </c>
      <c r="G834" s="11">
        <v>15444</v>
      </c>
      <c r="H834" s="8">
        <v>54</v>
      </c>
      <c r="I834" s="8">
        <v>1</v>
      </c>
      <c r="J834" s="1" t="s">
        <v>57</v>
      </c>
    </row>
    <row r="835" spans="1:10" ht="13.8" x14ac:dyDescent="0.25">
      <c r="A835" t="s">
        <v>881</v>
      </c>
      <c r="B835" s="8">
        <v>70</v>
      </c>
      <c r="C835" s="9" t="s">
        <v>16</v>
      </c>
      <c r="D835" s="9" t="s">
        <v>62</v>
      </c>
      <c r="E835" s="1">
        <v>45084</v>
      </c>
      <c r="F835" s="9" t="s">
        <v>22</v>
      </c>
      <c r="G835" s="11">
        <v>29638</v>
      </c>
      <c r="H835" s="8">
        <v>56</v>
      </c>
      <c r="I835" s="8">
        <v>5</v>
      </c>
      <c r="J835" s="1" t="s">
        <v>38</v>
      </c>
    </row>
    <row r="836" spans="1:10" ht="13.8" x14ac:dyDescent="0.25">
      <c r="A836" t="s">
        <v>882</v>
      </c>
      <c r="B836" s="8">
        <v>2</v>
      </c>
      <c r="C836" s="9" t="s">
        <v>11</v>
      </c>
      <c r="D836" s="9" t="s">
        <v>25</v>
      </c>
      <c r="E836" s="1">
        <v>45312</v>
      </c>
      <c r="F836" s="9" t="s">
        <v>26</v>
      </c>
      <c r="G836" s="11">
        <v>7874</v>
      </c>
      <c r="H836" s="8">
        <v>56</v>
      </c>
      <c r="I836" s="8">
        <v>5</v>
      </c>
      <c r="J836" s="1" t="s">
        <v>23</v>
      </c>
    </row>
    <row r="837" spans="1:10" ht="13.8" x14ac:dyDescent="0.25">
      <c r="A837" t="s">
        <v>883</v>
      </c>
      <c r="B837" s="8">
        <v>13</v>
      </c>
      <c r="C837" s="9" t="s">
        <v>11</v>
      </c>
      <c r="D837" s="9" t="s">
        <v>17</v>
      </c>
      <c r="E837" s="1">
        <v>45319</v>
      </c>
      <c r="F837" s="9" t="s">
        <v>22</v>
      </c>
      <c r="G837" s="11">
        <v>18954</v>
      </c>
      <c r="H837" s="8">
        <v>70</v>
      </c>
      <c r="I837" s="8">
        <v>0</v>
      </c>
      <c r="J837" s="1" t="s">
        <v>23</v>
      </c>
    </row>
    <row r="838" spans="1:10" ht="13.8" x14ac:dyDescent="0.25">
      <c r="A838" t="s">
        <v>884</v>
      </c>
      <c r="B838" s="8">
        <v>60</v>
      </c>
      <c r="C838" s="9" t="s">
        <v>11</v>
      </c>
      <c r="D838" s="9" t="s">
        <v>52</v>
      </c>
      <c r="E838" s="1">
        <v>44956</v>
      </c>
      <c r="F838" s="9" t="s">
        <v>22</v>
      </c>
      <c r="G838" s="11">
        <v>13890</v>
      </c>
      <c r="H838" s="8">
        <v>95</v>
      </c>
      <c r="I838" s="8">
        <v>3</v>
      </c>
      <c r="J838" s="1" t="s">
        <v>95</v>
      </c>
    </row>
    <row r="839" spans="1:10" ht="13.8" x14ac:dyDescent="0.25">
      <c r="A839" t="s">
        <v>885</v>
      </c>
      <c r="B839" s="8">
        <v>72</v>
      </c>
      <c r="C839" s="9" t="s">
        <v>16</v>
      </c>
      <c r="D839" s="9" t="s">
        <v>52</v>
      </c>
      <c r="E839" s="1">
        <v>45428</v>
      </c>
      <c r="F839" s="9" t="s">
        <v>22</v>
      </c>
      <c r="G839" s="11">
        <v>5624</v>
      </c>
      <c r="H839" s="8">
        <v>51</v>
      </c>
      <c r="I839" s="8">
        <v>2</v>
      </c>
      <c r="J839" s="1" t="s">
        <v>66</v>
      </c>
    </row>
    <row r="840" spans="1:10" ht="13.8" x14ac:dyDescent="0.25">
      <c r="A840" t="s">
        <v>886</v>
      </c>
      <c r="B840" s="8">
        <v>54</v>
      </c>
      <c r="C840" s="9" t="s">
        <v>16</v>
      </c>
      <c r="D840" s="9" t="s">
        <v>21</v>
      </c>
      <c r="E840" s="1">
        <v>45595</v>
      </c>
      <c r="F840" s="9" t="s">
        <v>13</v>
      </c>
      <c r="G840" s="11">
        <v>32638</v>
      </c>
      <c r="H840" s="8">
        <v>53</v>
      </c>
      <c r="I840" s="8">
        <v>2</v>
      </c>
      <c r="J840" s="1" t="s">
        <v>92</v>
      </c>
    </row>
    <row r="841" spans="1:10" ht="13.8" x14ac:dyDescent="0.25">
      <c r="A841" t="s">
        <v>887</v>
      </c>
      <c r="B841" s="8">
        <v>13</v>
      </c>
      <c r="C841" s="9" t="s">
        <v>11</v>
      </c>
      <c r="D841" s="9" t="s">
        <v>25</v>
      </c>
      <c r="E841" s="1">
        <v>45013</v>
      </c>
      <c r="F841" s="9" t="s">
        <v>22</v>
      </c>
      <c r="G841" s="11">
        <v>16179</v>
      </c>
      <c r="H841" s="8">
        <v>100</v>
      </c>
      <c r="I841" s="8">
        <v>2</v>
      </c>
      <c r="J841" s="1" t="s">
        <v>63</v>
      </c>
    </row>
    <row r="842" spans="1:10" ht="13.8" x14ac:dyDescent="0.25">
      <c r="A842" t="s">
        <v>888</v>
      </c>
      <c r="B842" s="8">
        <v>62</v>
      </c>
      <c r="C842" s="9" t="s">
        <v>16</v>
      </c>
      <c r="D842" s="9" t="s">
        <v>62</v>
      </c>
      <c r="E842" s="1">
        <v>44943</v>
      </c>
      <c r="F842" s="9" t="s">
        <v>18</v>
      </c>
      <c r="G842" s="11">
        <v>2904</v>
      </c>
      <c r="H842" s="8">
        <v>59</v>
      </c>
      <c r="I842" s="8">
        <v>2</v>
      </c>
      <c r="J842" s="1" t="s">
        <v>95</v>
      </c>
    </row>
    <row r="843" spans="1:10" ht="13.8" x14ac:dyDescent="0.25">
      <c r="A843" t="s">
        <v>889</v>
      </c>
      <c r="B843" s="8">
        <v>34</v>
      </c>
      <c r="C843" s="9" t="s">
        <v>11</v>
      </c>
      <c r="D843" s="9" t="s">
        <v>52</v>
      </c>
      <c r="E843" s="1">
        <v>45169</v>
      </c>
      <c r="F843" s="9" t="s">
        <v>22</v>
      </c>
      <c r="G843" s="11">
        <v>16779</v>
      </c>
      <c r="H843" s="8">
        <v>50</v>
      </c>
      <c r="I843" s="8">
        <v>3</v>
      </c>
      <c r="J843" s="1" t="s">
        <v>30</v>
      </c>
    </row>
    <row r="844" spans="1:10" ht="13.8" x14ac:dyDescent="0.25">
      <c r="A844" t="s">
        <v>890</v>
      </c>
      <c r="B844" s="8">
        <v>57</v>
      </c>
      <c r="C844" s="9" t="s">
        <v>11</v>
      </c>
      <c r="D844" s="9" t="s">
        <v>62</v>
      </c>
      <c r="E844" s="1">
        <v>45485</v>
      </c>
      <c r="F844" s="9" t="s">
        <v>29</v>
      </c>
      <c r="G844" s="11">
        <v>49274</v>
      </c>
      <c r="H844" s="8">
        <v>91</v>
      </c>
      <c r="I844" s="8">
        <v>5</v>
      </c>
      <c r="J844" s="1" t="s">
        <v>19</v>
      </c>
    </row>
    <row r="845" spans="1:10" ht="13.8" x14ac:dyDescent="0.25">
      <c r="A845" t="s">
        <v>891</v>
      </c>
      <c r="B845" s="8">
        <v>33</v>
      </c>
      <c r="C845" s="9" t="s">
        <v>11</v>
      </c>
      <c r="D845" s="9" t="s">
        <v>52</v>
      </c>
      <c r="E845" s="1">
        <v>45621</v>
      </c>
      <c r="F845" s="9" t="s">
        <v>29</v>
      </c>
      <c r="G845" s="11">
        <v>13364</v>
      </c>
      <c r="H845" s="8">
        <v>79</v>
      </c>
      <c r="I845" s="8">
        <v>1</v>
      </c>
      <c r="J845" s="1" t="s">
        <v>54</v>
      </c>
    </row>
    <row r="846" spans="1:10" ht="13.8" x14ac:dyDescent="0.25">
      <c r="A846" t="s">
        <v>892</v>
      </c>
      <c r="B846" s="8">
        <v>50</v>
      </c>
      <c r="C846" s="9" t="s">
        <v>16</v>
      </c>
      <c r="D846" s="9" t="s">
        <v>21</v>
      </c>
      <c r="E846" s="1">
        <v>45043</v>
      </c>
      <c r="F846" s="9" t="s">
        <v>18</v>
      </c>
      <c r="G846" s="11">
        <v>31492</v>
      </c>
      <c r="H846" s="8">
        <v>64</v>
      </c>
      <c r="I846" s="8">
        <v>4</v>
      </c>
      <c r="J846" s="1" t="s">
        <v>80</v>
      </c>
    </row>
    <row r="847" spans="1:10" ht="13.8" x14ac:dyDescent="0.25">
      <c r="A847" t="s">
        <v>893</v>
      </c>
      <c r="B847" s="8">
        <v>60</v>
      </c>
      <c r="C847" s="9" t="s">
        <v>11</v>
      </c>
      <c r="D847" s="9" t="s">
        <v>12</v>
      </c>
      <c r="E847" s="1">
        <v>45267</v>
      </c>
      <c r="F847" s="9" t="s">
        <v>18</v>
      </c>
      <c r="G847" s="11">
        <v>9310</v>
      </c>
      <c r="H847" s="8">
        <v>52</v>
      </c>
      <c r="I847" s="8">
        <v>5</v>
      </c>
      <c r="J847" s="1" t="s">
        <v>57</v>
      </c>
    </row>
    <row r="848" spans="1:10" ht="13.8" x14ac:dyDescent="0.25">
      <c r="A848" t="s">
        <v>894</v>
      </c>
      <c r="B848" s="8">
        <v>37</v>
      </c>
      <c r="C848" s="9" t="s">
        <v>11</v>
      </c>
      <c r="D848" s="9" t="s">
        <v>21</v>
      </c>
      <c r="E848" s="1">
        <v>45491</v>
      </c>
      <c r="F848" s="9" t="s">
        <v>53</v>
      </c>
      <c r="G848" s="11">
        <v>15901</v>
      </c>
      <c r="H848" s="8">
        <v>72</v>
      </c>
      <c r="I848" s="8">
        <v>2</v>
      </c>
      <c r="J848" s="1" t="s">
        <v>19</v>
      </c>
    </row>
    <row r="849" spans="1:10" ht="13.8" x14ac:dyDescent="0.25">
      <c r="A849" t="s">
        <v>895</v>
      </c>
      <c r="B849" s="8">
        <v>76</v>
      </c>
      <c r="C849" s="9" t="s">
        <v>11</v>
      </c>
      <c r="D849" s="9" t="s">
        <v>52</v>
      </c>
      <c r="E849" s="1">
        <v>45041</v>
      </c>
      <c r="F849" s="9" t="s">
        <v>29</v>
      </c>
      <c r="G849" s="11">
        <v>46317</v>
      </c>
      <c r="H849" s="8">
        <v>54</v>
      </c>
      <c r="I849" s="8">
        <v>1</v>
      </c>
      <c r="J849" s="1" t="s">
        <v>80</v>
      </c>
    </row>
    <row r="850" spans="1:10" ht="13.8" x14ac:dyDescent="0.25">
      <c r="A850" t="s">
        <v>896</v>
      </c>
      <c r="B850" s="8">
        <v>27</v>
      </c>
      <c r="C850" s="9" t="s">
        <v>11</v>
      </c>
      <c r="D850" s="9" t="s">
        <v>62</v>
      </c>
      <c r="E850" s="1">
        <v>45146</v>
      </c>
      <c r="F850" s="9" t="s">
        <v>53</v>
      </c>
      <c r="G850" s="11">
        <v>40607</v>
      </c>
      <c r="H850" s="8">
        <v>77</v>
      </c>
      <c r="I850" s="8">
        <v>5</v>
      </c>
      <c r="J850" s="1" t="s">
        <v>30</v>
      </c>
    </row>
    <row r="851" spans="1:10" ht="13.8" x14ac:dyDescent="0.25">
      <c r="A851" t="s">
        <v>897</v>
      </c>
      <c r="B851" s="8">
        <v>84</v>
      </c>
      <c r="C851" s="9" t="s">
        <v>16</v>
      </c>
      <c r="D851" s="9" t="s">
        <v>25</v>
      </c>
      <c r="E851" s="1">
        <v>45033</v>
      </c>
      <c r="F851" s="9" t="s">
        <v>29</v>
      </c>
      <c r="G851" s="11">
        <v>48635</v>
      </c>
      <c r="H851" s="8">
        <v>49</v>
      </c>
      <c r="I851" s="8">
        <v>4</v>
      </c>
      <c r="J851" s="1" t="s">
        <v>80</v>
      </c>
    </row>
    <row r="852" spans="1:10" ht="13.8" x14ac:dyDescent="0.25">
      <c r="A852" t="s">
        <v>898</v>
      </c>
      <c r="B852" s="8">
        <v>2</v>
      </c>
      <c r="C852" s="9" t="s">
        <v>11</v>
      </c>
      <c r="D852" s="9" t="s">
        <v>62</v>
      </c>
      <c r="E852" s="1">
        <v>45341</v>
      </c>
      <c r="F852" s="9" t="s">
        <v>18</v>
      </c>
      <c r="G852" s="11">
        <v>28509</v>
      </c>
      <c r="H852" s="8">
        <v>49</v>
      </c>
      <c r="I852" s="8">
        <v>3</v>
      </c>
      <c r="J852" s="1" t="s">
        <v>14</v>
      </c>
    </row>
    <row r="853" spans="1:10" ht="13.8" x14ac:dyDescent="0.25">
      <c r="A853" t="s">
        <v>899</v>
      </c>
      <c r="B853" s="8">
        <v>14</v>
      </c>
      <c r="C853" s="9" t="s">
        <v>16</v>
      </c>
      <c r="D853" s="9" t="s">
        <v>17</v>
      </c>
      <c r="E853" s="1">
        <v>45020</v>
      </c>
      <c r="F853" s="9" t="s">
        <v>29</v>
      </c>
      <c r="G853" s="11">
        <v>13642</v>
      </c>
      <c r="H853" s="8">
        <v>50</v>
      </c>
      <c r="I853" s="8">
        <v>1</v>
      </c>
      <c r="J853" s="1" t="s">
        <v>80</v>
      </c>
    </row>
    <row r="854" spans="1:10" ht="13.8" x14ac:dyDescent="0.25">
      <c r="A854" t="s">
        <v>900</v>
      </c>
      <c r="B854" s="8">
        <v>61</v>
      </c>
      <c r="C854" s="9" t="s">
        <v>16</v>
      </c>
      <c r="D854" s="9" t="s">
        <v>62</v>
      </c>
      <c r="E854" s="1">
        <v>45144</v>
      </c>
      <c r="F854" s="9" t="s">
        <v>13</v>
      </c>
      <c r="G854" s="11">
        <v>34054</v>
      </c>
      <c r="H854" s="8">
        <v>71</v>
      </c>
      <c r="I854" s="8">
        <v>1</v>
      </c>
      <c r="J854" s="1" t="s">
        <v>30</v>
      </c>
    </row>
    <row r="855" spans="1:10" ht="13.8" x14ac:dyDescent="0.25">
      <c r="A855" t="s">
        <v>901</v>
      </c>
      <c r="B855" s="8">
        <v>88</v>
      </c>
      <c r="C855" s="9" t="s">
        <v>16</v>
      </c>
      <c r="D855" s="9" t="s">
        <v>25</v>
      </c>
      <c r="E855" s="1">
        <v>45534</v>
      </c>
      <c r="F855" s="9" t="s">
        <v>22</v>
      </c>
      <c r="G855" s="11">
        <v>12248</v>
      </c>
      <c r="H855" s="8">
        <v>73</v>
      </c>
      <c r="I855" s="8">
        <v>4</v>
      </c>
      <c r="J855" s="1" t="s">
        <v>33</v>
      </c>
    </row>
    <row r="856" spans="1:10" ht="13.8" x14ac:dyDescent="0.25">
      <c r="A856" t="s">
        <v>902</v>
      </c>
      <c r="B856" s="8">
        <v>70</v>
      </c>
      <c r="C856" s="9" t="s">
        <v>11</v>
      </c>
      <c r="D856" s="9" t="s">
        <v>17</v>
      </c>
      <c r="E856" s="1">
        <v>45072</v>
      </c>
      <c r="F856" s="9" t="s">
        <v>29</v>
      </c>
      <c r="G856" s="11">
        <v>2542</v>
      </c>
      <c r="H856" s="8">
        <v>79</v>
      </c>
      <c r="I856" s="8">
        <v>2</v>
      </c>
      <c r="J856" s="1" t="s">
        <v>35</v>
      </c>
    </row>
    <row r="857" spans="1:10" ht="13.8" x14ac:dyDescent="0.25">
      <c r="A857" t="s">
        <v>903</v>
      </c>
      <c r="B857" s="8">
        <v>55</v>
      </c>
      <c r="C857" s="9" t="s">
        <v>16</v>
      </c>
      <c r="D857" s="9" t="s">
        <v>62</v>
      </c>
      <c r="E857" s="1">
        <v>45216</v>
      </c>
      <c r="F857" s="9" t="s">
        <v>53</v>
      </c>
      <c r="G857" s="11">
        <v>6129</v>
      </c>
      <c r="H857" s="8">
        <v>70</v>
      </c>
      <c r="I857" s="8">
        <v>1</v>
      </c>
      <c r="J857" s="1" t="s">
        <v>27</v>
      </c>
    </row>
    <row r="858" spans="1:10" ht="13.8" x14ac:dyDescent="0.25">
      <c r="A858" t="s">
        <v>904</v>
      </c>
      <c r="B858" s="8">
        <v>59</v>
      </c>
      <c r="C858" s="9" t="s">
        <v>11</v>
      </c>
      <c r="D858" s="9" t="s">
        <v>25</v>
      </c>
      <c r="E858" s="1">
        <v>45181</v>
      </c>
      <c r="F858" s="9" t="s">
        <v>29</v>
      </c>
      <c r="G858" s="11">
        <v>2522</v>
      </c>
      <c r="H858" s="8">
        <v>72</v>
      </c>
      <c r="I858" s="8">
        <v>5</v>
      </c>
      <c r="J858" s="1" t="s">
        <v>109</v>
      </c>
    </row>
    <row r="859" spans="1:10" ht="13.8" x14ac:dyDescent="0.25">
      <c r="A859" t="s">
        <v>905</v>
      </c>
      <c r="B859" s="8">
        <v>12</v>
      </c>
      <c r="C859" s="9" t="s">
        <v>16</v>
      </c>
      <c r="D859" s="9" t="s">
        <v>17</v>
      </c>
      <c r="E859" s="1">
        <v>45438</v>
      </c>
      <c r="F859" s="9" t="s">
        <v>26</v>
      </c>
      <c r="G859" s="11">
        <v>31250</v>
      </c>
      <c r="H859" s="8">
        <v>83</v>
      </c>
      <c r="I859" s="8">
        <v>3</v>
      </c>
      <c r="J859" s="1" t="s">
        <v>66</v>
      </c>
    </row>
    <row r="860" spans="1:10" ht="13.8" x14ac:dyDescent="0.25">
      <c r="A860" t="s">
        <v>906</v>
      </c>
      <c r="B860" s="8">
        <v>74</v>
      </c>
      <c r="C860" s="9" t="s">
        <v>16</v>
      </c>
      <c r="D860" s="9" t="s">
        <v>25</v>
      </c>
      <c r="E860" s="1">
        <v>45097</v>
      </c>
      <c r="F860" s="9" t="s">
        <v>18</v>
      </c>
      <c r="G860" s="11">
        <v>505</v>
      </c>
      <c r="H860" s="8">
        <v>57</v>
      </c>
      <c r="I860" s="8">
        <v>2</v>
      </c>
      <c r="J860" s="1" t="s">
        <v>38</v>
      </c>
    </row>
    <row r="861" spans="1:10" ht="13.8" x14ac:dyDescent="0.25">
      <c r="A861" t="s">
        <v>907</v>
      </c>
      <c r="B861" s="8">
        <v>8</v>
      </c>
      <c r="C861" s="9" t="s">
        <v>11</v>
      </c>
      <c r="D861" s="9" t="s">
        <v>62</v>
      </c>
      <c r="E861" s="1">
        <v>45483</v>
      </c>
      <c r="F861" s="9" t="s">
        <v>53</v>
      </c>
      <c r="G861" s="11">
        <v>45544</v>
      </c>
      <c r="H861" s="8">
        <v>40</v>
      </c>
      <c r="I861" s="8">
        <v>1</v>
      </c>
      <c r="J861" s="1" t="s">
        <v>19</v>
      </c>
    </row>
    <row r="862" spans="1:10" ht="13.8" x14ac:dyDescent="0.25">
      <c r="A862" t="s">
        <v>908</v>
      </c>
      <c r="B862" s="8">
        <v>16</v>
      </c>
      <c r="C862" s="9" t="s">
        <v>11</v>
      </c>
      <c r="D862" s="9" t="s">
        <v>21</v>
      </c>
      <c r="E862" s="1">
        <v>45158</v>
      </c>
      <c r="F862" s="9" t="s">
        <v>26</v>
      </c>
      <c r="G862" s="11">
        <v>38214</v>
      </c>
      <c r="H862" s="8">
        <v>50</v>
      </c>
      <c r="I862" s="8">
        <v>5</v>
      </c>
      <c r="J862" s="1" t="s">
        <v>30</v>
      </c>
    </row>
    <row r="863" spans="1:10" ht="13.8" x14ac:dyDescent="0.25">
      <c r="A863" t="s">
        <v>909</v>
      </c>
      <c r="B863" s="8">
        <v>59</v>
      </c>
      <c r="C863" s="9" t="s">
        <v>16</v>
      </c>
      <c r="D863" s="9" t="s">
        <v>52</v>
      </c>
      <c r="E863" s="1">
        <v>45269</v>
      </c>
      <c r="F863" s="9" t="s">
        <v>53</v>
      </c>
      <c r="G863" s="11">
        <v>14172</v>
      </c>
      <c r="H863" s="8">
        <v>67</v>
      </c>
      <c r="I863" s="8">
        <v>1</v>
      </c>
      <c r="J863" s="1" t="s">
        <v>57</v>
      </c>
    </row>
    <row r="864" spans="1:10" ht="13.8" x14ac:dyDescent="0.25">
      <c r="A864" t="s">
        <v>910</v>
      </c>
      <c r="B864" s="8">
        <v>50</v>
      </c>
      <c r="C864" s="9" t="s">
        <v>16</v>
      </c>
      <c r="D864" s="9" t="s">
        <v>21</v>
      </c>
      <c r="E864" s="1">
        <v>45593</v>
      </c>
      <c r="F864" s="9" t="s">
        <v>18</v>
      </c>
      <c r="G864" s="11">
        <v>2625</v>
      </c>
      <c r="H864" s="8">
        <v>85</v>
      </c>
      <c r="I864" s="8">
        <v>2</v>
      </c>
      <c r="J864" s="1" t="s">
        <v>92</v>
      </c>
    </row>
    <row r="865" spans="1:10" ht="13.8" x14ac:dyDescent="0.25">
      <c r="A865" t="s">
        <v>911</v>
      </c>
      <c r="B865" s="8">
        <v>30</v>
      </c>
      <c r="C865" s="9" t="s">
        <v>16</v>
      </c>
      <c r="D865" s="9" t="s">
        <v>52</v>
      </c>
      <c r="E865" s="1">
        <v>45612</v>
      </c>
      <c r="F865" s="9" t="s">
        <v>13</v>
      </c>
      <c r="G865" s="11">
        <v>32258</v>
      </c>
      <c r="H865" s="8">
        <v>74</v>
      </c>
      <c r="I865" s="8">
        <v>0</v>
      </c>
      <c r="J865" s="1" t="s">
        <v>54</v>
      </c>
    </row>
    <row r="866" spans="1:10" ht="13.8" x14ac:dyDescent="0.25">
      <c r="A866" t="s">
        <v>912</v>
      </c>
      <c r="B866" s="8">
        <v>64</v>
      </c>
      <c r="C866" s="9" t="s">
        <v>11</v>
      </c>
      <c r="D866" s="9" t="s">
        <v>12</v>
      </c>
      <c r="E866" s="1">
        <v>45597</v>
      </c>
      <c r="F866" s="9" t="s">
        <v>53</v>
      </c>
      <c r="G866" s="11">
        <v>44554</v>
      </c>
      <c r="H866" s="8">
        <v>77</v>
      </c>
      <c r="I866" s="8">
        <v>4</v>
      </c>
      <c r="J866" s="1" t="s">
        <v>54</v>
      </c>
    </row>
    <row r="867" spans="1:10" ht="13.8" x14ac:dyDescent="0.25">
      <c r="A867" t="s">
        <v>913</v>
      </c>
      <c r="B867" s="8">
        <v>13</v>
      </c>
      <c r="C867" s="9" t="s">
        <v>11</v>
      </c>
      <c r="D867" s="9" t="s">
        <v>25</v>
      </c>
      <c r="E867" s="1">
        <v>45036</v>
      </c>
      <c r="F867" s="9" t="s">
        <v>18</v>
      </c>
      <c r="G867" s="11">
        <v>9842</v>
      </c>
      <c r="H867" s="8">
        <v>54</v>
      </c>
      <c r="I867" s="8">
        <v>5</v>
      </c>
      <c r="J867" s="1" t="s">
        <v>80</v>
      </c>
    </row>
    <row r="868" spans="1:10" ht="13.8" x14ac:dyDescent="0.25">
      <c r="A868" t="s">
        <v>914</v>
      </c>
      <c r="B868" s="8">
        <v>45</v>
      </c>
      <c r="C868" s="9" t="s">
        <v>11</v>
      </c>
      <c r="D868" s="9" t="s">
        <v>25</v>
      </c>
      <c r="E868" s="1">
        <v>45464</v>
      </c>
      <c r="F868" s="9" t="s">
        <v>22</v>
      </c>
      <c r="G868" s="11">
        <v>25283</v>
      </c>
      <c r="H868" s="8">
        <v>97</v>
      </c>
      <c r="I868" s="8">
        <v>1</v>
      </c>
      <c r="J868" s="1" t="s">
        <v>42</v>
      </c>
    </row>
    <row r="869" spans="1:10" ht="13.8" x14ac:dyDescent="0.25">
      <c r="A869" t="s">
        <v>915</v>
      </c>
      <c r="B869" s="8">
        <v>4</v>
      </c>
      <c r="C869" s="9" t="s">
        <v>16</v>
      </c>
      <c r="D869" s="9" t="s">
        <v>52</v>
      </c>
      <c r="E869" s="1">
        <v>45014</v>
      </c>
      <c r="F869" s="9" t="s">
        <v>26</v>
      </c>
      <c r="G869" s="11">
        <v>33092</v>
      </c>
      <c r="H869" s="8">
        <v>96</v>
      </c>
      <c r="I869" s="8">
        <v>2</v>
      </c>
      <c r="J869" s="1" t="s">
        <v>63</v>
      </c>
    </row>
    <row r="870" spans="1:10" ht="13.8" x14ac:dyDescent="0.25">
      <c r="A870" t="s">
        <v>916</v>
      </c>
      <c r="B870" s="8">
        <v>2</v>
      </c>
      <c r="C870" s="9" t="s">
        <v>11</v>
      </c>
      <c r="D870" s="9" t="s">
        <v>21</v>
      </c>
      <c r="E870" s="1">
        <v>45284</v>
      </c>
      <c r="F870" s="9" t="s">
        <v>22</v>
      </c>
      <c r="G870" s="11">
        <v>32665</v>
      </c>
      <c r="H870" s="8">
        <v>66</v>
      </c>
      <c r="I870" s="8">
        <v>1</v>
      </c>
      <c r="J870" s="1" t="s">
        <v>57</v>
      </c>
    </row>
    <row r="871" spans="1:10" ht="13.8" x14ac:dyDescent="0.25">
      <c r="A871" t="s">
        <v>917</v>
      </c>
      <c r="B871" s="8">
        <v>59</v>
      </c>
      <c r="C871" s="9" t="s">
        <v>11</v>
      </c>
      <c r="D871" s="9" t="s">
        <v>21</v>
      </c>
      <c r="E871" s="1">
        <v>45586</v>
      </c>
      <c r="F871" s="9" t="s">
        <v>22</v>
      </c>
      <c r="G871" s="11">
        <v>24701</v>
      </c>
      <c r="H871" s="8">
        <v>77</v>
      </c>
      <c r="I871" s="8">
        <v>5</v>
      </c>
      <c r="J871" s="1" t="s">
        <v>92</v>
      </c>
    </row>
    <row r="872" spans="1:10" ht="13.8" x14ac:dyDescent="0.25">
      <c r="A872" t="s">
        <v>918</v>
      </c>
      <c r="B872" s="8">
        <v>42</v>
      </c>
      <c r="C872" s="9" t="s">
        <v>11</v>
      </c>
      <c r="D872" s="9" t="s">
        <v>52</v>
      </c>
      <c r="E872" s="1">
        <v>45126</v>
      </c>
      <c r="F872" s="9" t="s">
        <v>29</v>
      </c>
      <c r="G872" s="11">
        <v>27881</v>
      </c>
      <c r="H872" s="8">
        <v>73</v>
      </c>
      <c r="I872" s="8">
        <v>3</v>
      </c>
      <c r="J872" s="1" t="s">
        <v>78</v>
      </c>
    </row>
    <row r="873" spans="1:10" ht="13.8" x14ac:dyDescent="0.25">
      <c r="A873" t="s">
        <v>919</v>
      </c>
      <c r="B873" s="8">
        <v>65</v>
      </c>
      <c r="C873" s="9" t="s">
        <v>11</v>
      </c>
      <c r="D873" s="9" t="s">
        <v>17</v>
      </c>
      <c r="E873" s="1">
        <v>45420</v>
      </c>
      <c r="F873" s="9" t="s">
        <v>26</v>
      </c>
      <c r="G873" s="11">
        <v>17113</v>
      </c>
      <c r="H873" s="8">
        <v>99</v>
      </c>
      <c r="I873" s="8">
        <v>4</v>
      </c>
      <c r="J873" s="1" t="s">
        <v>66</v>
      </c>
    </row>
    <row r="874" spans="1:10" ht="13.8" x14ac:dyDescent="0.25">
      <c r="A874" t="s">
        <v>920</v>
      </c>
      <c r="B874" s="8">
        <v>86</v>
      </c>
      <c r="C874" s="9" t="s">
        <v>16</v>
      </c>
      <c r="D874" s="9" t="s">
        <v>52</v>
      </c>
      <c r="E874" s="1">
        <v>45602</v>
      </c>
      <c r="F874" s="9" t="s">
        <v>53</v>
      </c>
      <c r="G874" s="11">
        <v>27148</v>
      </c>
      <c r="H874" s="8">
        <v>41</v>
      </c>
      <c r="I874" s="8">
        <v>0</v>
      </c>
      <c r="J874" s="1" t="s">
        <v>54</v>
      </c>
    </row>
    <row r="875" spans="1:10" ht="13.8" x14ac:dyDescent="0.25">
      <c r="A875" t="s">
        <v>921</v>
      </c>
      <c r="B875" s="8">
        <v>6</v>
      </c>
      <c r="C875" s="9" t="s">
        <v>16</v>
      </c>
      <c r="D875" s="9" t="s">
        <v>21</v>
      </c>
      <c r="E875" s="1">
        <v>45424</v>
      </c>
      <c r="F875" s="9" t="s">
        <v>18</v>
      </c>
      <c r="G875" s="11">
        <v>41387</v>
      </c>
      <c r="H875" s="8">
        <v>49</v>
      </c>
      <c r="I875" s="8">
        <v>3</v>
      </c>
      <c r="J875" s="1" t="s">
        <v>66</v>
      </c>
    </row>
    <row r="876" spans="1:10" ht="13.8" x14ac:dyDescent="0.25">
      <c r="A876" t="s">
        <v>922</v>
      </c>
      <c r="B876" s="8">
        <v>31</v>
      </c>
      <c r="C876" s="9" t="s">
        <v>11</v>
      </c>
      <c r="D876" s="9" t="s">
        <v>21</v>
      </c>
      <c r="E876" s="1">
        <v>45429</v>
      </c>
      <c r="F876" s="9" t="s">
        <v>26</v>
      </c>
      <c r="G876" s="11">
        <v>44644</v>
      </c>
      <c r="H876" s="8">
        <v>53</v>
      </c>
      <c r="I876" s="8">
        <v>4</v>
      </c>
      <c r="J876" s="1" t="s">
        <v>66</v>
      </c>
    </row>
    <row r="877" spans="1:10" ht="13.8" x14ac:dyDescent="0.25">
      <c r="A877" t="s">
        <v>923</v>
      </c>
      <c r="B877" s="8">
        <v>90</v>
      </c>
      <c r="C877" s="9" t="s">
        <v>16</v>
      </c>
      <c r="D877" s="9" t="s">
        <v>12</v>
      </c>
      <c r="E877" s="1">
        <v>45125</v>
      </c>
      <c r="F877" s="9" t="s">
        <v>53</v>
      </c>
      <c r="G877" s="11">
        <v>20676</v>
      </c>
      <c r="H877" s="8">
        <v>69</v>
      </c>
      <c r="I877" s="8">
        <v>1</v>
      </c>
      <c r="J877" s="1" t="s">
        <v>78</v>
      </c>
    </row>
    <row r="878" spans="1:10" ht="13.8" x14ac:dyDescent="0.25">
      <c r="A878" t="s">
        <v>924</v>
      </c>
      <c r="B878" s="8">
        <v>46</v>
      </c>
      <c r="C878" s="9" t="s">
        <v>11</v>
      </c>
      <c r="D878" s="9" t="s">
        <v>52</v>
      </c>
      <c r="E878" s="1">
        <v>45200</v>
      </c>
      <c r="F878" s="9" t="s">
        <v>13</v>
      </c>
      <c r="G878" s="11">
        <v>1846</v>
      </c>
      <c r="H878" s="8">
        <v>60</v>
      </c>
      <c r="I878" s="8">
        <v>5</v>
      </c>
      <c r="J878" s="1" t="s">
        <v>27</v>
      </c>
    </row>
    <row r="879" spans="1:10" ht="13.8" x14ac:dyDescent="0.25">
      <c r="A879" t="s">
        <v>925</v>
      </c>
      <c r="B879" s="8">
        <v>71</v>
      </c>
      <c r="C879" s="9" t="s">
        <v>11</v>
      </c>
      <c r="D879" s="9" t="s">
        <v>62</v>
      </c>
      <c r="E879" s="1">
        <v>45459</v>
      </c>
      <c r="F879" s="9" t="s">
        <v>26</v>
      </c>
      <c r="G879" s="11">
        <v>19077</v>
      </c>
      <c r="H879" s="8">
        <v>54</v>
      </c>
      <c r="I879" s="8">
        <v>4</v>
      </c>
      <c r="J879" s="1" t="s">
        <v>42</v>
      </c>
    </row>
    <row r="880" spans="1:10" ht="13.8" x14ac:dyDescent="0.25">
      <c r="A880" t="s">
        <v>926</v>
      </c>
      <c r="B880" s="8">
        <v>56</v>
      </c>
      <c r="C880" s="9" t="s">
        <v>16</v>
      </c>
      <c r="D880" s="9" t="s">
        <v>52</v>
      </c>
      <c r="E880" s="1">
        <v>45106</v>
      </c>
      <c r="F880" s="9" t="s">
        <v>26</v>
      </c>
      <c r="G880" s="11">
        <v>21577</v>
      </c>
      <c r="H880" s="8">
        <v>79</v>
      </c>
      <c r="I880" s="8">
        <v>4</v>
      </c>
      <c r="J880" s="1" t="s">
        <v>38</v>
      </c>
    </row>
    <row r="881" spans="1:10" ht="13.8" x14ac:dyDescent="0.25">
      <c r="A881" t="s">
        <v>927</v>
      </c>
      <c r="B881" s="8">
        <v>24</v>
      </c>
      <c r="C881" s="9" t="s">
        <v>16</v>
      </c>
      <c r="D881" s="9" t="s">
        <v>52</v>
      </c>
      <c r="E881" s="1">
        <v>45432</v>
      </c>
      <c r="F881" s="9" t="s">
        <v>22</v>
      </c>
      <c r="G881" s="11">
        <v>3314</v>
      </c>
      <c r="H881" s="8">
        <v>62</v>
      </c>
      <c r="I881" s="8">
        <v>0</v>
      </c>
      <c r="J881" s="1" t="s">
        <v>66</v>
      </c>
    </row>
    <row r="882" spans="1:10" ht="13.8" x14ac:dyDescent="0.25">
      <c r="A882" t="s">
        <v>928</v>
      </c>
      <c r="B882" s="8">
        <v>20</v>
      </c>
      <c r="C882" s="9" t="s">
        <v>16</v>
      </c>
      <c r="D882" s="9" t="s">
        <v>21</v>
      </c>
      <c r="E882" s="1">
        <v>45547</v>
      </c>
      <c r="F882" s="9" t="s">
        <v>29</v>
      </c>
      <c r="G882" s="11">
        <v>34247</v>
      </c>
      <c r="H882" s="8">
        <v>84</v>
      </c>
      <c r="I882" s="8">
        <v>5</v>
      </c>
      <c r="J882" s="1" t="s">
        <v>45</v>
      </c>
    </row>
    <row r="883" spans="1:10" ht="13.8" x14ac:dyDescent="0.25">
      <c r="A883" t="s">
        <v>929</v>
      </c>
      <c r="B883" s="8">
        <v>11</v>
      </c>
      <c r="C883" s="9" t="s">
        <v>11</v>
      </c>
      <c r="D883" s="9" t="s">
        <v>17</v>
      </c>
      <c r="E883" s="1">
        <v>45204</v>
      </c>
      <c r="F883" s="9" t="s">
        <v>26</v>
      </c>
      <c r="G883" s="11">
        <v>38893</v>
      </c>
      <c r="H883" s="8">
        <v>52</v>
      </c>
      <c r="I883" s="8">
        <v>2</v>
      </c>
      <c r="J883" s="1" t="s">
        <v>27</v>
      </c>
    </row>
    <row r="884" spans="1:10" ht="13.8" x14ac:dyDescent="0.25">
      <c r="A884" t="s">
        <v>930</v>
      </c>
      <c r="B884" s="8">
        <v>82</v>
      </c>
      <c r="C884" s="9" t="s">
        <v>16</v>
      </c>
      <c r="D884" s="9" t="s">
        <v>12</v>
      </c>
      <c r="E884" s="1">
        <v>45269</v>
      </c>
      <c r="F884" s="9" t="s">
        <v>13</v>
      </c>
      <c r="G884" s="11">
        <v>46868</v>
      </c>
      <c r="H884" s="8">
        <v>71</v>
      </c>
      <c r="I884" s="8">
        <v>3</v>
      </c>
      <c r="J884" s="1" t="s">
        <v>57</v>
      </c>
    </row>
    <row r="885" spans="1:10" ht="13.8" x14ac:dyDescent="0.25">
      <c r="A885" t="s">
        <v>931</v>
      </c>
      <c r="B885" s="8">
        <v>70</v>
      </c>
      <c r="C885" s="9" t="s">
        <v>11</v>
      </c>
      <c r="D885" s="9" t="s">
        <v>62</v>
      </c>
      <c r="E885" s="1">
        <v>45112</v>
      </c>
      <c r="F885" s="9" t="s">
        <v>53</v>
      </c>
      <c r="G885" s="11">
        <v>16900</v>
      </c>
      <c r="H885" s="8">
        <v>91</v>
      </c>
      <c r="I885" s="8">
        <v>5</v>
      </c>
      <c r="J885" s="1" t="s">
        <v>78</v>
      </c>
    </row>
    <row r="886" spans="1:10" ht="13.8" x14ac:dyDescent="0.25">
      <c r="A886" t="s">
        <v>932</v>
      </c>
      <c r="B886" s="8">
        <v>48</v>
      </c>
      <c r="C886" s="9" t="s">
        <v>16</v>
      </c>
      <c r="D886" s="9" t="s">
        <v>12</v>
      </c>
      <c r="E886" s="1">
        <v>44958</v>
      </c>
      <c r="F886" s="9" t="s">
        <v>53</v>
      </c>
      <c r="G886" s="11">
        <v>9243</v>
      </c>
      <c r="H886" s="8">
        <v>51</v>
      </c>
      <c r="I886" s="8">
        <v>3</v>
      </c>
      <c r="J886" s="1" t="s">
        <v>126</v>
      </c>
    </row>
    <row r="887" spans="1:10" ht="13.8" x14ac:dyDescent="0.25">
      <c r="A887" t="s">
        <v>933</v>
      </c>
      <c r="B887" s="8">
        <v>25</v>
      </c>
      <c r="C887" s="9" t="s">
        <v>16</v>
      </c>
      <c r="D887" s="9" t="s">
        <v>52</v>
      </c>
      <c r="E887" s="1">
        <v>45450</v>
      </c>
      <c r="F887" s="9" t="s">
        <v>29</v>
      </c>
      <c r="G887" s="11">
        <v>37967</v>
      </c>
      <c r="H887" s="8">
        <v>48</v>
      </c>
      <c r="I887" s="8">
        <v>4</v>
      </c>
      <c r="J887" s="1" t="s">
        <v>42</v>
      </c>
    </row>
    <row r="888" spans="1:10" ht="13.8" x14ac:dyDescent="0.25">
      <c r="A888" t="s">
        <v>934</v>
      </c>
      <c r="B888" s="8">
        <v>14</v>
      </c>
      <c r="C888" s="9" t="s">
        <v>16</v>
      </c>
      <c r="D888" s="9" t="s">
        <v>62</v>
      </c>
      <c r="E888" s="1">
        <v>45385</v>
      </c>
      <c r="F888" s="9" t="s">
        <v>53</v>
      </c>
      <c r="G888" s="11">
        <v>35753</v>
      </c>
      <c r="H888" s="8">
        <v>67</v>
      </c>
      <c r="I888" s="8">
        <v>0</v>
      </c>
      <c r="J888" s="1" t="s">
        <v>50</v>
      </c>
    </row>
    <row r="889" spans="1:10" ht="13.8" x14ac:dyDescent="0.25">
      <c r="A889" t="s">
        <v>935</v>
      </c>
      <c r="B889" s="8">
        <v>20</v>
      </c>
      <c r="C889" s="9" t="s">
        <v>11</v>
      </c>
      <c r="D889" s="9" t="s">
        <v>17</v>
      </c>
      <c r="E889" s="1">
        <v>45406</v>
      </c>
      <c r="F889" s="9" t="s">
        <v>53</v>
      </c>
      <c r="G889" s="11">
        <v>40560</v>
      </c>
      <c r="H889" s="8">
        <v>68</v>
      </c>
      <c r="I889" s="8">
        <v>4</v>
      </c>
      <c r="J889" s="1" t="s">
        <v>50</v>
      </c>
    </row>
    <row r="890" spans="1:10" ht="13.8" x14ac:dyDescent="0.25">
      <c r="A890" t="s">
        <v>936</v>
      </c>
      <c r="B890" s="8">
        <v>7</v>
      </c>
      <c r="C890" s="9" t="s">
        <v>11</v>
      </c>
      <c r="D890" s="9" t="s">
        <v>52</v>
      </c>
      <c r="E890" s="1">
        <v>44932</v>
      </c>
      <c r="F890" s="9" t="s">
        <v>22</v>
      </c>
      <c r="G890" s="11">
        <v>26186</v>
      </c>
      <c r="H890" s="8">
        <v>74</v>
      </c>
      <c r="I890" s="8">
        <v>0</v>
      </c>
      <c r="J890" s="1" t="s">
        <v>95</v>
      </c>
    </row>
    <row r="891" spans="1:10" ht="13.8" x14ac:dyDescent="0.25">
      <c r="A891" t="s">
        <v>937</v>
      </c>
      <c r="B891" s="8">
        <v>84</v>
      </c>
      <c r="C891" s="9" t="s">
        <v>16</v>
      </c>
      <c r="D891" s="9" t="s">
        <v>21</v>
      </c>
      <c r="E891" s="1">
        <v>45091</v>
      </c>
      <c r="F891" s="9" t="s">
        <v>22</v>
      </c>
      <c r="G891" s="11">
        <v>20284</v>
      </c>
      <c r="H891" s="8">
        <v>92</v>
      </c>
      <c r="I891" s="8">
        <v>1</v>
      </c>
      <c r="J891" s="1" t="s">
        <v>38</v>
      </c>
    </row>
    <row r="892" spans="1:10" ht="13.8" x14ac:dyDescent="0.25">
      <c r="A892" t="s">
        <v>938</v>
      </c>
      <c r="B892" s="8">
        <v>1</v>
      </c>
      <c r="C892" s="9" t="s">
        <v>16</v>
      </c>
      <c r="D892" s="9" t="s">
        <v>52</v>
      </c>
      <c r="E892" s="1">
        <v>45239</v>
      </c>
      <c r="F892" s="9" t="s">
        <v>53</v>
      </c>
      <c r="G892" s="11">
        <v>39034</v>
      </c>
      <c r="H892" s="8">
        <v>78</v>
      </c>
      <c r="I892" s="8">
        <v>2</v>
      </c>
      <c r="J892" s="1" t="s">
        <v>40</v>
      </c>
    </row>
    <row r="893" spans="1:10" ht="13.8" x14ac:dyDescent="0.25">
      <c r="A893" t="s">
        <v>939</v>
      </c>
      <c r="B893" s="8">
        <v>58</v>
      </c>
      <c r="C893" s="9" t="s">
        <v>11</v>
      </c>
      <c r="D893" s="9" t="s">
        <v>21</v>
      </c>
      <c r="E893" s="1">
        <v>45120</v>
      </c>
      <c r="F893" s="9" t="s">
        <v>18</v>
      </c>
      <c r="G893" s="11">
        <v>24541</v>
      </c>
      <c r="H893" s="8">
        <v>95</v>
      </c>
      <c r="I893" s="8">
        <v>0</v>
      </c>
      <c r="J893" s="1" t="s">
        <v>78</v>
      </c>
    </row>
    <row r="894" spans="1:10" ht="13.8" x14ac:dyDescent="0.25">
      <c r="A894" t="s">
        <v>940</v>
      </c>
      <c r="B894" s="8">
        <v>50</v>
      </c>
      <c r="C894" s="9" t="s">
        <v>16</v>
      </c>
      <c r="D894" s="9" t="s">
        <v>62</v>
      </c>
      <c r="E894" s="1">
        <v>45019</v>
      </c>
      <c r="F894" s="9" t="s">
        <v>18</v>
      </c>
      <c r="G894" s="11">
        <v>24630</v>
      </c>
      <c r="H894" s="8">
        <v>59</v>
      </c>
      <c r="I894" s="8">
        <v>1</v>
      </c>
      <c r="J894" s="1" t="s">
        <v>80</v>
      </c>
    </row>
    <row r="895" spans="1:10" ht="13.8" x14ac:dyDescent="0.25">
      <c r="A895" t="s">
        <v>941</v>
      </c>
      <c r="B895" s="8">
        <v>47</v>
      </c>
      <c r="C895" s="9" t="s">
        <v>11</v>
      </c>
      <c r="D895" s="9" t="s">
        <v>17</v>
      </c>
      <c r="E895" s="1">
        <v>45584</v>
      </c>
      <c r="F895" s="9" t="s">
        <v>53</v>
      </c>
      <c r="G895" s="11">
        <v>48244</v>
      </c>
      <c r="H895" s="8">
        <v>93</v>
      </c>
      <c r="I895" s="8">
        <v>1</v>
      </c>
      <c r="J895" s="1" t="s">
        <v>92</v>
      </c>
    </row>
    <row r="896" spans="1:10" ht="13.8" x14ac:dyDescent="0.25">
      <c r="A896" t="s">
        <v>942</v>
      </c>
      <c r="B896" s="8">
        <v>50</v>
      </c>
      <c r="C896" s="9" t="s">
        <v>11</v>
      </c>
      <c r="D896" s="9" t="s">
        <v>62</v>
      </c>
      <c r="E896" s="1">
        <v>45323</v>
      </c>
      <c r="F896" s="9" t="s">
        <v>26</v>
      </c>
      <c r="G896" s="11">
        <v>48207</v>
      </c>
      <c r="H896" s="8">
        <v>49</v>
      </c>
      <c r="I896" s="8">
        <v>2</v>
      </c>
      <c r="J896" s="1" t="s">
        <v>14</v>
      </c>
    </row>
    <row r="897" spans="1:10" ht="13.8" x14ac:dyDescent="0.25">
      <c r="A897" t="s">
        <v>943</v>
      </c>
      <c r="B897" s="8">
        <v>46</v>
      </c>
      <c r="C897" s="9" t="s">
        <v>11</v>
      </c>
      <c r="D897" s="9" t="s">
        <v>25</v>
      </c>
      <c r="E897" s="1">
        <v>45307</v>
      </c>
      <c r="F897" s="9" t="s">
        <v>22</v>
      </c>
      <c r="G897" s="11">
        <v>46177</v>
      </c>
      <c r="H897" s="8">
        <v>70</v>
      </c>
      <c r="I897" s="8">
        <v>4</v>
      </c>
      <c r="J897" s="1" t="s">
        <v>23</v>
      </c>
    </row>
    <row r="898" spans="1:10" ht="13.8" x14ac:dyDescent="0.25">
      <c r="A898" t="s">
        <v>944</v>
      </c>
      <c r="B898" s="8">
        <v>67</v>
      </c>
      <c r="C898" s="9" t="s">
        <v>11</v>
      </c>
      <c r="D898" s="9" t="s">
        <v>52</v>
      </c>
      <c r="E898" s="1">
        <v>45307</v>
      </c>
      <c r="F898" s="9" t="s">
        <v>29</v>
      </c>
      <c r="G898" s="11">
        <v>1706</v>
      </c>
      <c r="H898" s="8">
        <v>51</v>
      </c>
      <c r="I898" s="8">
        <v>2</v>
      </c>
      <c r="J898" s="1" t="s">
        <v>23</v>
      </c>
    </row>
    <row r="899" spans="1:10" ht="13.8" x14ac:dyDescent="0.25">
      <c r="A899" t="s">
        <v>945</v>
      </c>
      <c r="B899" s="8">
        <v>71</v>
      </c>
      <c r="C899" s="9" t="s">
        <v>11</v>
      </c>
      <c r="D899" s="9" t="s">
        <v>12</v>
      </c>
      <c r="E899" s="1">
        <v>44977</v>
      </c>
      <c r="F899" s="9" t="s">
        <v>29</v>
      </c>
      <c r="G899" s="11">
        <v>5773</v>
      </c>
      <c r="H899" s="8">
        <v>65</v>
      </c>
      <c r="I899" s="8">
        <v>0</v>
      </c>
      <c r="J899" s="1" t="s">
        <v>126</v>
      </c>
    </row>
    <row r="900" spans="1:10" ht="13.8" x14ac:dyDescent="0.25">
      <c r="A900" t="s">
        <v>946</v>
      </c>
      <c r="B900" s="8">
        <v>21</v>
      </c>
      <c r="C900" s="9" t="s">
        <v>16</v>
      </c>
      <c r="D900" s="9" t="s">
        <v>25</v>
      </c>
      <c r="E900" s="1">
        <v>45105</v>
      </c>
      <c r="F900" s="9" t="s">
        <v>29</v>
      </c>
      <c r="G900" s="11">
        <v>12033</v>
      </c>
      <c r="H900" s="8">
        <v>53</v>
      </c>
      <c r="I900" s="8">
        <v>2</v>
      </c>
      <c r="J900" s="1" t="s">
        <v>38</v>
      </c>
    </row>
    <row r="901" spans="1:10" ht="13.8" x14ac:dyDescent="0.25">
      <c r="A901" t="s">
        <v>947</v>
      </c>
      <c r="B901" s="8">
        <v>3</v>
      </c>
      <c r="C901" s="9" t="s">
        <v>11</v>
      </c>
      <c r="D901" s="9" t="s">
        <v>62</v>
      </c>
      <c r="E901" s="1">
        <v>45460</v>
      </c>
      <c r="F901" s="9" t="s">
        <v>29</v>
      </c>
      <c r="G901" s="11">
        <v>37978</v>
      </c>
      <c r="H901" s="8">
        <v>62</v>
      </c>
      <c r="I901" s="8">
        <v>2</v>
      </c>
      <c r="J901" s="1" t="s">
        <v>42</v>
      </c>
    </row>
    <row r="902" spans="1:10" ht="13.8" x14ac:dyDescent="0.25">
      <c r="A902" t="s">
        <v>948</v>
      </c>
      <c r="B902" s="8">
        <v>24</v>
      </c>
      <c r="C902" s="9" t="s">
        <v>16</v>
      </c>
      <c r="D902" s="9" t="s">
        <v>25</v>
      </c>
      <c r="E902" s="1">
        <v>45505</v>
      </c>
      <c r="F902" s="9" t="s">
        <v>26</v>
      </c>
      <c r="G902" s="11">
        <v>9380</v>
      </c>
      <c r="H902" s="8">
        <v>96</v>
      </c>
      <c r="I902" s="8">
        <v>5</v>
      </c>
      <c r="J902" s="1" t="s">
        <v>33</v>
      </c>
    </row>
    <row r="903" spans="1:10" ht="13.8" x14ac:dyDescent="0.25">
      <c r="A903" t="s">
        <v>949</v>
      </c>
      <c r="B903" s="8">
        <v>33</v>
      </c>
      <c r="C903" s="9" t="s">
        <v>16</v>
      </c>
      <c r="D903" s="9" t="s">
        <v>62</v>
      </c>
      <c r="E903" s="1">
        <v>45573</v>
      </c>
      <c r="F903" s="9" t="s">
        <v>18</v>
      </c>
      <c r="G903" s="11">
        <v>1692</v>
      </c>
      <c r="H903" s="8">
        <v>75</v>
      </c>
      <c r="I903" s="8">
        <v>3</v>
      </c>
      <c r="J903" s="1" t="s">
        <v>92</v>
      </c>
    </row>
    <row r="904" spans="1:10" ht="13.8" x14ac:dyDescent="0.25">
      <c r="A904" t="s">
        <v>950</v>
      </c>
      <c r="B904" s="8">
        <v>55</v>
      </c>
      <c r="C904" s="9" t="s">
        <v>16</v>
      </c>
      <c r="D904" s="9" t="s">
        <v>62</v>
      </c>
      <c r="E904" s="1">
        <v>45295</v>
      </c>
      <c r="F904" s="9" t="s">
        <v>13</v>
      </c>
      <c r="G904" s="11">
        <v>19290</v>
      </c>
      <c r="H904" s="8">
        <v>64</v>
      </c>
      <c r="I904" s="8">
        <v>4</v>
      </c>
      <c r="J904" s="1" t="s">
        <v>23</v>
      </c>
    </row>
    <row r="905" spans="1:10" ht="13.8" x14ac:dyDescent="0.25">
      <c r="A905" t="s">
        <v>951</v>
      </c>
      <c r="B905" s="8">
        <v>61</v>
      </c>
      <c r="C905" s="9" t="s">
        <v>16</v>
      </c>
      <c r="D905" s="9" t="s">
        <v>52</v>
      </c>
      <c r="E905" s="1">
        <v>45341</v>
      </c>
      <c r="F905" s="9" t="s">
        <v>13</v>
      </c>
      <c r="G905" s="11">
        <v>18439</v>
      </c>
      <c r="H905" s="8">
        <v>53</v>
      </c>
      <c r="I905" s="8">
        <v>2</v>
      </c>
      <c r="J905" s="1" t="s">
        <v>14</v>
      </c>
    </row>
    <row r="906" spans="1:10" ht="13.8" x14ac:dyDescent="0.25">
      <c r="A906" t="s">
        <v>952</v>
      </c>
      <c r="B906" s="8">
        <v>64</v>
      </c>
      <c r="C906" s="9" t="s">
        <v>16</v>
      </c>
      <c r="D906" s="9" t="s">
        <v>25</v>
      </c>
      <c r="E906" s="1">
        <v>44964</v>
      </c>
      <c r="F906" s="9" t="s">
        <v>29</v>
      </c>
      <c r="G906" s="11">
        <v>18210</v>
      </c>
      <c r="H906" s="8">
        <v>43</v>
      </c>
      <c r="I906" s="8">
        <v>4</v>
      </c>
      <c r="J906" s="1" t="s">
        <v>126</v>
      </c>
    </row>
    <row r="907" spans="1:10" ht="13.8" x14ac:dyDescent="0.25">
      <c r="A907" t="s">
        <v>953</v>
      </c>
      <c r="B907" s="8">
        <v>81</v>
      </c>
      <c r="C907" s="9" t="s">
        <v>11</v>
      </c>
      <c r="D907" s="9" t="s">
        <v>17</v>
      </c>
      <c r="E907" s="1">
        <v>45386</v>
      </c>
      <c r="F907" s="9" t="s">
        <v>26</v>
      </c>
      <c r="G907" s="11">
        <v>11316</v>
      </c>
      <c r="H907" s="8">
        <v>49</v>
      </c>
      <c r="I907" s="8">
        <v>5</v>
      </c>
      <c r="J907" s="1" t="s">
        <v>50</v>
      </c>
    </row>
    <row r="908" spans="1:10" ht="13.8" x14ac:dyDescent="0.25">
      <c r="A908" t="s">
        <v>954</v>
      </c>
      <c r="B908" s="8">
        <v>37</v>
      </c>
      <c r="C908" s="9" t="s">
        <v>16</v>
      </c>
      <c r="D908" s="9" t="s">
        <v>17</v>
      </c>
      <c r="E908" s="1">
        <v>45172</v>
      </c>
      <c r="F908" s="9" t="s">
        <v>29</v>
      </c>
      <c r="G908" s="11">
        <v>15034</v>
      </c>
      <c r="H908" s="8">
        <v>72</v>
      </c>
      <c r="I908" s="8">
        <v>3</v>
      </c>
      <c r="J908" s="1" t="s">
        <v>109</v>
      </c>
    </row>
    <row r="909" spans="1:10" ht="13.8" x14ac:dyDescent="0.25">
      <c r="A909" t="s">
        <v>955</v>
      </c>
      <c r="B909" s="8">
        <v>32</v>
      </c>
      <c r="C909" s="9" t="s">
        <v>11</v>
      </c>
      <c r="D909" s="9" t="s">
        <v>17</v>
      </c>
      <c r="E909" s="1">
        <v>45032</v>
      </c>
      <c r="F909" s="9" t="s">
        <v>18</v>
      </c>
      <c r="G909" s="11">
        <v>21847</v>
      </c>
      <c r="H909" s="8">
        <v>43</v>
      </c>
      <c r="I909" s="8">
        <v>2</v>
      </c>
      <c r="J909" s="1" t="s">
        <v>80</v>
      </c>
    </row>
    <row r="910" spans="1:10" ht="13.8" x14ac:dyDescent="0.25">
      <c r="A910" t="s">
        <v>956</v>
      </c>
      <c r="B910" s="8">
        <v>5</v>
      </c>
      <c r="C910" s="9" t="s">
        <v>16</v>
      </c>
      <c r="D910" s="9" t="s">
        <v>12</v>
      </c>
      <c r="E910" s="1">
        <v>45220</v>
      </c>
      <c r="F910" s="9" t="s">
        <v>26</v>
      </c>
      <c r="G910" s="11">
        <v>21346</v>
      </c>
      <c r="H910" s="8">
        <v>94</v>
      </c>
      <c r="I910" s="8">
        <v>1</v>
      </c>
      <c r="J910" s="1" t="s">
        <v>27</v>
      </c>
    </row>
    <row r="911" spans="1:10" ht="13.8" x14ac:dyDescent="0.25">
      <c r="A911" t="s">
        <v>957</v>
      </c>
      <c r="B911" s="8">
        <v>20</v>
      </c>
      <c r="C911" s="9" t="s">
        <v>16</v>
      </c>
      <c r="D911" s="9" t="s">
        <v>12</v>
      </c>
      <c r="E911" s="1">
        <v>44956</v>
      </c>
      <c r="F911" s="9" t="s">
        <v>13</v>
      </c>
      <c r="G911" s="11">
        <v>44453</v>
      </c>
      <c r="H911" s="8">
        <v>53</v>
      </c>
      <c r="I911" s="8">
        <v>5</v>
      </c>
      <c r="J911" s="1" t="s">
        <v>95</v>
      </c>
    </row>
    <row r="912" spans="1:10" ht="13.8" x14ac:dyDescent="0.25">
      <c r="A912" t="s">
        <v>958</v>
      </c>
      <c r="B912" s="8">
        <v>67</v>
      </c>
      <c r="C912" s="9" t="s">
        <v>16</v>
      </c>
      <c r="D912" s="9" t="s">
        <v>21</v>
      </c>
      <c r="E912" s="1">
        <v>44992</v>
      </c>
      <c r="F912" s="9" t="s">
        <v>29</v>
      </c>
      <c r="G912" s="11">
        <v>20213</v>
      </c>
      <c r="H912" s="8">
        <v>69</v>
      </c>
      <c r="I912" s="8">
        <v>2</v>
      </c>
      <c r="J912" s="1" t="s">
        <v>63</v>
      </c>
    </row>
    <row r="913" spans="1:10" ht="13.8" x14ac:dyDescent="0.25">
      <c r="A913" t="s">
        <v>959</v>
      </c>
      <c r="B913" s="8">
        <v>21</v>
      </c>
      <c r="C913" s="9" t="s">
        <v>11</v>
      </c>
      <c r="D913" s="9" t="s">
        <v>62</v>
      </c>
      <c r="E913" s="1">
        <v>45409</v>
      </c>
      <c r="F913" s="9" t="s">
        <v>26</v>
      </c>
      <c r="G913" s="11">
        <v>32178</v>
      </c>
      <c r="H913" s="8">
        <v>66</v>
      </c>
      <c r="I913" s="8">
        <v>1</v>
      </c>
      <c r="J913" s="1" t="s">
        <v>50</v>
      </c>
    </row>
    <row r="914" spans="1:10" ht="13.8" x14ac:dyDescent="0.25">
      <c r="A914" t="s">
        <v>960</v>
      </c>
      <c r="B914" s="8">
        <v>85</v>
      </c>
      <c r="C914" s="9" t="s">
        <v>11</v>
      </c>
      <c r="D914" s="9" t="s">
        <v>25</v>
      </c>
      <c r="E914" s="1">
        <v>45549</v>
      </c>
      <c r="F914" s="9" t="s">
        <v>18</v>
      </c>
      <c r="G914" s="11">
        <v>34435</v>
      </c>
      <c r="H914" s="8">
        <v>81</v>
      </c>
      <c r="I914" s="8">
        <v>4</v>
      </c>
      <c r="J914" s="1" t="s">
        <v>45</v>
      </c>
    </row>
    <row r="915" spans="1:10" ht="13.8" x14ac:dyDescent="0.25">
      <c r="A915" t="s">
        <v>961</v>
      </c>
      <c r="B915" s="8">
        <v>32</v>
      </c>
      <c r="C915" s="9" t="s">
        <v>11</v>
      </c>
      <c r="D915" s="9" t="s">
        <v>17</v>
      </c>
      <c r="E915" s="1">
        <v>45497</v>
      </c>
      <c r="F915" s="9" t="s">
        <v>18</v>
      </c>
      <c r="G915" s="11">
        <v>43109</v>
      </c>
      <c r="H915" s="8">
        <v>72</v>
      </c>
      <c r="I915" s="8">
        <v>3</v>
      </c>
      <c r="J915" s="1" t="s">
        <v>19</v>
      </c>
    </row>
    <row r="916" spans="1:10" ht="13.8" x14ac:dyDescent="0.25">
      <c r="A916" t="s">
        <v>962</v>
      </c>
      <c r="B916" s="8">
        <v>3</v>
      </c>
      <c r="C916" s="9" t="s">
        <v>16</v>
      </c>
      <c r="D916" s="9" t="s">
        <v>25</v>
      </c>
      <c r="E916" s="1">
        <v>45496</v>
      </c>
      <c r="F916" s="9" t="s">
        <v>18</v>
      </c>
      <c r="G916" s="11">
        <v>12310</v>
      </c>
      <c r="H916" s="8">
        <v>94</v>
      </c>
      <c r="I916" s="8">
        <v>0</v>
      </c>
      <c r="J916" s="1" t="s">
        <v>19</v>
      </c>
    </row>
    <row r="917" spans="1:10" ht="13.8" x14ac:dyDescent="0.25">
      <c r="A917" t="s">
        <v>963</v>
      </c>
      <c r="B917" s="8">
        <v>30</v>
      </c>
      <c r="C917" s="9" t="s">
        <v>16</v>
      </c>
      <c r="D917" s="9" t="s">
        <v>25</v>
      </c>
      <c r="E917" s="1">
        <v>45305</v>
      </c>
      <c r="F917" s="9" t="s">
        <v>53</v>
      </c>
      <c r="G917" s="11">
        <v>36766</v>
      </c>
      <c r="H917" s="8">
        <v>44</v>
      </c>
      <c r="I917" s="8">
        <v>4</v>
      </c>
      <c r="J917" s="1" t="s">
        <v>23</v>
      </c>
    </row>
    <row r="918" spans="1:10" ht="13.8" x14ac:dyDescent="0.25">
      <c r="A918" t="s">
        <v>964</v>
      </c>
      <c r="B918" s="8">
        <v>42</v>
      </c>
      <c r="C918" s="9" t="s">
        <v>16</v>
      </c>
      <c r="D918" s="9" t="s">
        <v>12</v>
      </c>
      <c r="E918" s="1">
        <v>45350</v>
      </c>
      <c r="F918" s="9" t="s">
        <v>18</v>
      </c>
      <c r="G918" s="11">
        <v>21533</v>
      </c>
      <c r="H918" s="8">
        <v>92</v>
      </c>
      <c r="I918" s="8">
        <v>5</v>
      </c>
      <c r="J918" s="1" t="s">
        <v>14</v>
      </c>
    </row>
    <row r="919" spans="1:10" ht="13.8" x14ac:dyDescent="0.25">
      <c r="A919" t="s">
        <v>965</v>
      </c>
      <c r="B919" s="8">
        <v>84</v>
      </c>
      <c r="C919" s="9" t="s">
        <v>16</v>
      </c>
      <c r="D919" s="9" t="s">
        <v>21</v>
      </c>
      <c r="E919" s="1">
        <v>45253</v>
      </c>
      <c r="F919" s="9" t="s">
        <v>53</v>
      </c>
      <c r="G919" s="11">
        <v>7020</v>
      </c>
      <c r="H919" s="8">
        <v>82</v>
      </c>
      <c r="I919" s="8">
        <v>1</v>
      </c>
      <c r="J919" s="1" t="s">
        <v>40</v>
      </c>
    </row>
    <row r="920" spans="1:10" ht="13.8" x14ac:dyDescent="0.25">
      <c r="A920" t="s">
        <v>966</v>
      </c>
      <c r="B920" s="8">
        <v>57</v>
      </c>
      <c r="C920" s="9" t="s">
        <v>16</v>
      </c>
      <c r="D920" s="9" t="s">
        <v>25</v>
      </c>
      <c r="E920" s="1">
        <v>44956</v>
      </c>
      <c r="F920" s="9" t="s">
        <v>13</v>
      </c>
      <c r="G920" s="11">
        <v>4277</v>
      </c>
      <c r="H920" s="8">
        <v>42</v>
      </c>
      <c r="I920" s="8">
        <v>0</v>
      </c>
      <c r="J920" s="1" t="s">
        <v>95</v>
      </c>
    </row>
    <row r="921" spans="1:10" ht="13.8" x14ac:dyDescent="0.25">
      <c r="A921" t="s">
        <v>967</v>
      </c>
      <c r="B921" s="8">
        <v>42</v>
      </c>
      <c r="C921" s="9" t="s">
        <v>11</v>
      </c>
      <c r="D921" s="9" t="s">
        <v>25</v>
      </c>
      <c r="E921" s="1">
        <v>45156</v>
      </c>
      <c r="F921" s="9" t="s">
        <v>53</v>
      </c>
      <c r="G921" s="11">
        <v>43894</v>
      </c>
      <c r="H921" s="8">
        <v>82</v>
      </c>
      <c r="I921" s="8">
        <v>0</v>
      </c>
      <c r="J921" s="1" t="s">
        <v>30</v>
      </c>
    </row>
    <row r="922" spans="1:10" ht="13.8" x14ac:dyDescent="0.25">
      <c r="A922" t="s">
        <v>968</v>
      </c>
      <c r="B922" s="8">
        <v>86</v>
      </c>
      <c r="C922" s="9" t="s">
        <v>11</v>
      </c>
      <c r="D922" s="9" t="s">
        <v>25</v>
      </c>
      <c r="E922" s="1">
        <v>45156</v>
      </c>
      <c r="F922" s="9" t="s">
        <v>26</v>
      </c>
      <c r="G922" s="11">
        <v>561</v>
      </c>
      <c r="H922" s="8">
        <v>92</v>
      </c>
      <c r="I922" s="8">
        <v>3</v>
      </c>
      <c r="J922" s="1" t="s">
        <v>30</v>
      </c>
    </row>
    <row r="923" spans="1:10" ht="13.8" x14ac:dyDescent="0.25">
      <c r="A923" t="s">
        <v>969</v>
      </c>
      <c r="B923" s="8">
        <v>67</v>
      </c>
      <c r="C923" s="9" t="s">
        <v>11</v>
      </c>
      <c r="D923" s="9" t="s">
        <v>17</v>
      </c>
      <c r="E923" s="1">
        <v>45473</v>
      </c>
      <c r="F923" s="9" t="s">
        <v>18</v>
      </c>
      <c r="G923" s="11">
        <v>27039</v>
      </c>
      <c r="H923" s="8">
        <v>76</v>
      </c>
      <c r="I923" s="8">
        <v>0</v>
      </c>
      <c r="J923" s="1" t="s">
        <v>42</v>
      </c>
    </row>
    <row r="924" spans="1:10" ht="13.8" x14ac:dyDescent="0.25">
      <c r="A924" t="s">
        <v>970</v>
      </c>
      <c r="B924" s="8">
        <v>11</v>
      </c>
      <c r="C924" s="9" t="s">
        <v>16</v>
      </c>
      <c r="D924" s="9" t="s">
        <v>62</v>
      </c>
      <c r="E924" s="1">
        <v>45098</v>
      </c>
      <c r="F924" s="9" t="s">
        <v>18</v>
      </c>
      <c r="G924" s="11">
        <v>8745</v>
      </c>
      <c r="H924" s="8">
        <v>94</v>
      </c>
      <c r="I924" s="8">
        <v>2</v>
      </c>
      <c r="J924" s="1" t="s">
        <v>38</v>
      </c>
    </row>
    <row r="925" spans="1:10" ht="13.8" x14ac:dyDescent="0.25">
      <c r="A925" t="s">
        <v>971</v>
      </c>
      <c r="B925" s="8">
        <v>27</v>
      </c>
      <c r="C925" s="9" t="s">
        <v>16</v>
      </c>
      <c r="D925" s="9" t="s">
        <v>17</v>
      </c>
      <c r="E925" s="1">
        <v>45548</v>
      </c>
      <c r="F925" s="9" t="s">
        <v>18</v>
      </c>
      <c r="G925" s="11">
        <v>44617</v>
      </c>
      <c r="H925" s="8">
        <v>91</v>
      </c>
      <c r="I925" s="8">
        <v>0</v>
      </c>
      <c r="J925" s="1" t="s">
        <v>45</v>
      </c>
    </row>
    <row r="926" spans="1:10" ht="13.8" x14ac:dyDescent="0.25">
      <c r="A926" t="s">
        <v>972</v>
      </c>
      <c r="B926" s="8">
        <v>53</v>
      </c>
      <c r="C926" s="9" t="s">
        <v>16</v>
      </c>
      <c r="D926" s="9" t="s">
        <v>17</v>
      </c>
      <c r="E926" s="1">
        <v>45379</v>
      </c>
      <c r="F926" s="9" t="s">
        <v>53</v>
      </c>
      <c r="G926" s="11">
        <v>23050</v>
      </c>
      <c r="H926" s="8">
        <v>87</v>
      </c>
      <c r="I926" s="8">
        <v>4</v>
      </c>
      <c r="J926" s="1" t="s">
        <v>48</v>
      </c>
    </row>
    <row r="927" spans="1:10" ht="13.8" x14ac:dyDescent="0.25">
      <c r="A927" t="s">
        <v>973</v>
      </c>
      <c r="B927" s="8">
        <v>2</v>
      </c>
      <c r="C927" s="9" t="s">
        <v>16</v>
      </c>
      <c r="D927" s="9" t="s">
        <v>52</v>
      </c>
      <c r="E927" s="1">
        <v>45279</v>
      </c>
      <c r="F927" s="9" t="s">
        <v>53</v>
      </c>
      <c r="G927" s="11">
        <v>27613</v>
      </c>
      <c r="H927" s="8">
        <v>60</v>
      </c>
      <c r="I927" s="8">
        <v>2</v>
      </c>
      <c r="J927" s="1" t="s">
        <v>57</v>
      </c>
    </row>
    <row r="928" spans="1:10" ht="13.8" x14ac:dyDescent="0.25">
      <c r="A928" t="s">
        <v>974</v>
      </c>
      <c r="B928" s="8">
        <v>82</v>
      </c>
      <c r="C928" s="9" t="s">
        <v>16</v>
      </c>
      <c r="D928" s="9" t="s">
        <v>52</v>
      </c>
      <c r="E928" s="1">
        <v>45513</v>
      </c>
      <c r="F928" s="9" t="s">
        <v>53</v>
      </c>
      <c r="G928" s="11">
        <v>49947</v>
      </c>
      <c r="H928" s="8">
        <v>44</v>
      </c>
      <c r="I928" s="8">
        <v>2</v>
      </c>
      <c r="J928" s="1" t="s">
        <v>33</v>
      </c>
    </row>
    <row r="929" spans="1:10" ht="13.8" x14ac:dyDescent="0.25">
      <c r="A929" t="s">
        <v>975</v>
      </c>
      <c r="B929" s="8">
        <v>2</v>
      </c>
      <c r="C929" s="9" t="s">
        <v>16</v>
      </c>
      <c r="D929" s="9" t="s">
        <v>62</v>
      </c>
      <c r="E929" s="1">
        <v>45133</v>
      </c>
      <c r="F929" s="9" t="s">
        <v>26</v>
      </c>
      <c r="G929" s="11">
        <v>39309</v>
      </c>
      <c r="H929" s="8">
        <v>78</v>
      </c>
      <c r="I929" s="8">
        <v>4</v>
      </c>
      <c r="J929" s="1" t="s">
        <v>78</v>
      </c>
    </row>
    <row r="930" spans="1:10" ht="13.8" x14ac:dyDescent="0.25">
      <c r="A930" t="s">
        <v>976</v>
      </c>
      <c r="B930" s="8">
        <v>1</v>
      </c>
      <c r="C930" s="9" t="s">
        <v>11</v>
      </c>
      <c r="D930" s="9" t="s">
        <v>17</v>
      </c>
      <c r="E930" s="1">
        <v>45371</v>
      </c>
      <c r="F930" s="9" t="s">
        <v>22</v>
      </c>
      <c r="G930" s="11">
        <v>8458</v>
      </c>
      <c r="H930" s="8">
        <v>83</v>
      </c>
      <c r="I930" s="8">
        <v>0</v>
      </c>
      <c r="J930" s="1" t="s">
        <v>48</v>
      </c>
    </row>
    <row r="931" spans="1:10" ht="13.8" x14ac:dyDescent="0.25">
      <c r="A931" t="s">
        <v>977</v>
      </c>
      <c r="B931" s="8">
        <v>70</v>
      </c>
      <c r="C931" s="9" t="s">
        <v>11</v>
      </c>
      <c r="D931" s="9" t="s">
        <v>62</v>
      </c>
      <c r="E931" s="1">
        <v>45022</v>
      </c>
      <c r="F931" s="9" t="s">
        <v>13</v>
      </c>
      <c r="G931" s="11">
        <v>3906</v>
      </c>
      <c r="H931" s="8">
        <v>80</v>
      </c>
      <c r="I931" s="8">
        <v>1</v>
      </c>
      <c r="J931" s="1" t="s">
        <v>80</v>
      </c>
    </row>
    <row r="932" spans="1:10" ht="13.8" x14ac:dyDescent="0.25">
      <c r="A932" t="s">
        <v>978</v>
      </c>
      <c r="B932" s="8">
        <v>18</v>
      </c>
      <c r="C932" s="9" t="s">
        <v>16</v>
      </c>
      <c r="D932" s="9" t="s">
        <v>52</v>
      </c>
      <c r="E932" s="1">
        <v>45185</v>
      </c>
      <c r="F932" s="9" t="s">
        <v>22</v>
      </c>
      <c r="G932" s="11">
        <v>850</v>
      </c>
      <c r="H932" s="8">
        <v>57</v>
      </c>
      <c r="I932" s="8">
        <v>3</v>
      </c>
      <c r="J932" s="1" t="s">
        <v>109</v>
      </c>
    </row>
    <row r="933" spans="1:10" ht="13.8" x14ac:dyDescent="0.25">
      <c r="A933" t="s">
        <v>979</v>
      </c>
      <c r="B933" s="8">
        <v>69</v>
      </c>
      <c r="C933" s="9" t="s">
        <v>11</v>
      </c>
      <c r="D933" s="9" t="s">
        <v>17</v>
      </c>
      <c r="E933" s="1">
        <v>44996</v>
      </c>
      <c r="F933" s="9" t="s">
        <v>29</v>
      </c>
      <c r="G933" s="11">
        <v>40343</v>
      </c>
      <c r="H933" s="8">
        <v>87</v>
      </c>
      <c r="I933" s="8">
        <v>5</v>
      </c>
      <c r="J933" s="1" t="s">
        <v>63</v>
      </c>
    </row>
    <row r="934" spans="1:10" ht="13.8" x14ac:dyDescent="0.25">
      <c r="A934" t="s">
        <v>980</v>
      </c>
      <c r="B934" s="8">
        <v>21</v>
      </c>
      <c r="C934" s="9" t="s">
        <v>11</v>
      </c>
      <c r="D934" s="9" t="s">
        <v>21</v>
      </c>
      <c r="E934" s="1">
        <v>45285</v>
      </c>
      <c r="F934" s="9" t="s">
        <v>53</v>
      </c>
      <c r="G934" s="11">
        <v>5164</v>
      </c>
      <c r="H934" s="8">
        <v>92</v>
      </c>
      <c r="I934" s="8">
        <v>2</v>
      </c>
      <c r="J934" s="1" t="s">
        <v>57</v>
      </c>
    </row>
    <row r="935" spans="1:10" ht="13.8" x14ac:dyDescent="0.25">
      <c r="A935" t="s">
        <v>981</v>
      </c>
      <c r="B935" s="8">
        <v>81</v>
      </c>
      <c r="C935" s="9" t="s">
        <v>16</v>
      </c>
      <c r="D935" s="9" t="s">
        <v>12</v>
      </c>
      <c r="E935" s="1">
        <v>45544</v>
      </c>
      <c r="F935" s="9" t="s">
        <v>13</v>
      </c>
      <c r="G935" s="11">
        <v>40116</v>
      </c>
      <c r="H935" s="8">
        <v>98</v>
      </c>
      <c r="I935" s="8">
        <v>5</v>
      </c>
      <c r="J935" s="1" t="s">
        <v>45</v>
      </c>
    </row>
    <row r="936" spans="1:10" ht="13.8" x14ac:dyDescent="0.25">
      <c r="A936" t="s">
        <v>982</v>
      </c>
      <c r="B936" s="8">
        <v>67</v>
      </c>
      <c r="C936" s="9" t="s">
        <v>11</v>
      </c>
      <c r="D936" s="9" t="s">
        <v>25</v>
      </c>
      <c r="E936" s="1">
        <v>44975</v>
      </c>
      <c r="F936" s="9" t="s">
        <v>22</v>
      </c>
      <c r="G936" s="11">
        <v>9625</v>
      </c>
      <c r="H936" s="8">
        <v>79</v>
      </c>
      <c r="I936" s="8">
        <v>0</v>
      </c>
      <c r="J936" s="1" t="s">
        <v>126</v>
      </c>
    </row>
    <row r="937" spans="1:10" ht="13.8" x14ac:dyDescent="0.25">
      <c r="A937" t="s">
        <v>983</v>
      </c>
      <c r="B937" s="8">
        <v>66</v>
      </c>
      <c r="C937" s="9" t="s">
        <v>16</v>
      </c>
      <c r="D937" s="9" t="s">
        <v>12</v>
      </c>
      <c r="E937" s="1">
        <v>45457</v>
      </c>
      <c r="F937" s="9" t="s">
        <v>53</v>
      </c>
      <c r="G937" s="11">
        <v>31908</v>
      </c>
      <c r="H937" s="8">
        <v>97</v>
      </c>
      <c r="I937" s="8">
        <v>0</v>
      </c>
      <c r="J937" s="1" t="s">
        <v>42</v>
      </c>
    </row>
    <row r="938" spans="1:10" ht="13.8" x14ac:dyDescent="0.25">
      <c r="A938" t="s">
        <v>984</v>
      </c>
      <c r="B938" s="8">
        <v>40</v>
      </c>
      <c r="C938" s="9" t="s">
        <v>11</v>
      </c>
      <c r="D938" s="9" t="s">
        <v>12</v>
      </c>
      <c r="E938" s="1">
        <v>45063</v>
      </c>
      <c r="F938" s="9" t="s">
        <v>29</v>
      </c>
      <c r="G938" s="11">
        <v>41464</v>
      </c>
      <c r="H938" s="8">
        <v>73</v>
      </c>
      <c r="I938" s="8">
        <v>2</v>
      </c>
      <c r="J938" s="1" t="s">
        <v>35</v>
      </c>
    </row>
    <row r="939" spans="1:10" ht="13.8" x14ac:dyDescent="0.25">
      <c r="A939" t="s">
        <v>985</v>
      </c>
      <c r="B939" s="8">
        <v>3</v>
      </c>
      <c r="C939" s="9" t="s">
        <v>11</v>
      </c>
      <c r="D939" s="9" t="s">
        <v>25</v>
      </c>
      <c r="E939" s="1">
        <v>44933</v>
      </c>
      <c r="F939" s="9" t="s">
        <v>29</v>
      </c>
      <c r="G939" s="11">
        <v>37601</v>
      </c>
      <c r="H939" s="8">
        <v>43</v>
      </c>
      <c r="I939" s="8">
        <v>2</v>
      </c>
      <c r="J939" s="1" t="s">
        <v>95</v>
      </c>
    </row>
    <row r="940" spans="1:10" ht="13.8" x14ac:dyDescent="0.25">
      <c r="A940" t="s">
        <v>986</v>
      </c>
      <c r="B940" s="8">
        <v>20</v>
      </c>
      <c r="C940" s="9" t="s">
        <v>11</v>
      </c>
      <c r="D940" s="9" t="s">
        <v>17</v>
      </c>
      <c r="E940" s="1">
        <v>45620</v>
      </c>
      <c r="F940" s="9" t="s">
        <v>26</v>
      </c>
      <c r="G940" s="11">
        <v>34510</v>
      </c>
      <c r="H940" s="8">
        <v>45</v>
      </c>
      <c r="I940" s="8">
        <v>2</v>
      </c>
      <c r="J940" s="1" t="s">
        <v>54</v>
      </c>
    </row>
    <row r="941" spans="1:10" ht="13.8" x14ac:dyDescent="0.25">
      <c r="A941" t="s">
        <v>987</v>
      </c>
      <c r="B941" s="8">
        <v>45</v>
      </c>
      <c r="C941" s="9" t="s">
        <v>11</v>
      </c>
      <c r="D941" s="9" t="s">
        <v>52</v>
      </c>
      <c r="E941" s="1">
        <v>45320</v>
      </c>
      <c r="F941" s="9" t="s">
        <v>53</v>
      </c>
      <c r="G941" s="11">
        <v>20410</v>
      </c>
      <c r="H941" s="8">
        <v>76</v>
      </c>
      <c r="I941" s="8">
        <v>5</v>
      </c>
      <c r="J941" s="1" t="s">
        <v>23</v>
      </c>
    </row>
    <row r="942" spans="1:10" ht="13.8" x14ac:dyDescent="0.25">
      <c r="A942" t="s">
        <v>988</v>
      </c>
      <c r="B942" s="8">
        <v>54</v>
      </c>
      <c r="C942" s="9" t="s">
        <v>11</v>
      </c>
      <c r="D942" s="9" t="s">
        <v>17</v>
      </c>
      <c r="E942" s="1">
        <v>45572</v>
      </c>
      <c r="F942" s="9" t="s">
        <v>26</v>
      </c>
      <c r="G942" s="11">
        <v>34872</v>
      </c>
      <c r="H942" s="8">
        <v>70</v>
      </c>
      <c r="I942" s="8">
        <v>4</v>
      </c>
      <c r="J942" s="1" t="s">
        <v>92</v>
      </c>
    </row>
    <row r="943" spans="1:10" ht="13.8" x14ac:dyDescent="0.25">
      <c r="A943" t="s">
        <v>989</v>
      </c>
      <c r="B943" s="8">
        <v>23</v>
      </c>
      <c r="C943" s="9" t="s">
        <v>11</v>
      </c>
      <c r="D943" s="9" t="s">
        <v>62</v>
      </c>
      <c r="E943" s="1">
        <v>45020</v>
      </c>
      <c r="F943" s="9" t="s">
        <v>18</v>
      </c>
      <c r="G943" s="11">
        <v>19607</v>
      </c>
      <c r="H943" s="8">
        <v>94</v>
      </c>
      <c r="I943" s="8">
        <v>5</v>
      </c>
      <c r="J943" s="1" t="s">
        <v>80</v>
      </c>
    </row>
    <row r="944" spans="1:10" ht="13.8" x14ac:dyDescent="0.25">
      <c r="A944" t="s">
        <v>990</v>
      </c>
      <c r="B944" s="8">
        <v>58</v>
      </c>
      <c r="C944" s="9" t="s">
        <v>16</v>
      </c>
      <c r="D944" s="9" t="s">
        <v>62</v>
      </c>
      <c r="E944" s="1">
        <v>45010</v>
      </c>
      <c r="F944" s="9" t="s">
        <v>53</v>
      </c>
      <c r="G944" s="11">
        <v>36766</v>
      </c>
      <c r="H944" s="8">
        <v>93</v>
      </c>
      <c r="I944" s="8">
        <v>2</v>
      </c>
      <c r="J944" s="1" t="s">
        <v>63</v>
      </c>
    </row>
    <row r="945" spans="1:10" ht="13.8" x14ac:dyDescent="0.25">
      <c r="A945" t="s">
        <v>991</v>
      </c>
      <c r="B945" s="8">
        <v>3</v>
      </c>
      <c r="C945" s="9" t="s">
        <v>11</v>
      </c>
      <c r="D945" s="9" t="s">
        <v>52</v>
      </c>
      <c r="E945" s="1">
        <v>45422</v>
      </c>
      <c r="F945" s="9" t="s">
        <v>53</v>
      </c>
      <c r="G945" s="11">
        <v>3085</v>
      </c>
      <c r="H945" s="8">
        <v>54</v>
      </c>
      <c r="I945" s="8">
        <v>3</v>
      </c>
      <c r="J945" s="1" t="s">
        <v>66</v>
      </c>
    </row>
    <row r="946" spans="1:10" ht="13.8" x14ac:dyDescent="0.25">
      <c r="A946" t="s">
        <v>992</v>
      </c>
      <c r="B946" s="8">
        <v>3</v>
      </c>
      <c r="C946" s="9" t="s">
        <v>16</v>
      </c>
      <c r="D946" s="9" t="s">
        <v>17</v>
      </c>
      <c r="E946" s="1">
        <v>45579</v>
      </c>
      <c r="F946" s="9" t="s">
        <v>13</v>
      </c>
      <c r="G946" s="11">
        <v>21257</v>
      </c>
      <c r="H946" s="8">
        <v>63</v>
      </c>
      <c r="I946" s="8">
        <v>3</v>
      </c>
      <c r="J946" s="1" t="s">
        <v>92</v>
      </c>
    </row>
    <row r="947" spans="1:10" ht="13.8" x14ac:dyDescent="0.25">
      <c r="A947" t="s">
        <v>993</v>
      </c>
      <c r="B947" s="8">
        <v>5</v>
      </c>
      <c r="C947" s="9" t="s">
        <v>16</v>
      </c>
      <c r="D947" s="9" t="s">
        <v>21</v>
      </c>
      <c r="E947" s="1">
        <v>45483</v>
      </c>
      <c r="F947" s="9" t="s">
        <v>18</v>
      </c>
      <c r="G947" s="11">
        <v>49031</v>
      </c>
      <c r="H947" s="8">
        <v>86</v>
      </c>
      <c r="I947" s="8">
        <v>1</v>
      </c>
      <c r="J947" s="1" t="s">
        <v>19</v>
      </c>
    </row>
    <row r="948" spans="1:10" ht="13.8" x14ac:dyDescent="0.25">
      <c r="A948" t="s">
        <v>994</v>
      </c>
      <c r="B948" s="8">
        <v>69</v>
      </c>
      <c r="C948" s="9" t="s">
        <v>16</v>
      </c>
      <c r="D948" s="9" t="s">
        <v>17</v>
      </c>
      <c r="E948" s="1">
        <v>45589</v>
      </c>
      <c r="F948" s="9" t="s">
        <v>53</v>
      </c>
      <c r="G948" s="11">
        <v>29845</v>
      </c>
      <c r="H948" s="8">
        <v>46</v>
      </c>
      <c r="I948" s="8">
        <v>0</v>
      </c>
      <c r="J948" s="1" t="s">
        <v>92</v>
      </c>
    </row>
    <row r="949" spans="1:10" ht="13.8" x14ac:dyDescent="0.25">
      <c r="A949" t="s">
        <v>995</v>
      </c>
      <c r="B949" s="8">
        <v>44</v>
      </c>
      <c r="C949" s="9" t="s">
        <v>16</v>
      </c>
      <c r="D949" s="9" t="s">
        <v>52</v>
      </c>
      <c r="E949" s="1">
        <v>45191</v>
      </c>
      <c r="F949" s="9" t="s">
        <v>26</v>
      </c>
      <c r="G949" s="11">
        <v>8576</v>
      </c>
      <c r="H949" s="8">
        <v>76</v>
      </c>
      <c r="I949" s="8">
        <v>3</v>
      </c>
      <c r="J949" s="1" t="s">
        <v>109</v>
      </c>
    </row>
    <row r="950" spans="1:10" ht="13.8" x14ac:dyDescent="0.25">
      <c r="A950" t="s">
        <v>996</v>
      </c>
      <c r="B950" s="8">
        <v>62</v>
      </c>
      <c r="C950" s="9" t="s">
        <v>16</v>
      </c>
      <c r="D950" s="9" t="s">
        <v>25</v>
      </c>
      <c r="E950" s="1">
        <v>45461</v>
      </c>
      <c r="F950" s="9" t="s">
        <v>13</v>
      </c>
      <c r="G950" s="11">
        <v>16921</v>
      </c>
      <c r="H950" s="8">
        <v>89</v>
      </c>
      <c r="I950" s="8">
        <v>0</v>
      </c>
      <c r="J950" s="1" t="s">
        <v>42</v>
      </c>
    </row>
    <row r="951" spans="1:10" ht="13.8" x14ac:dyDescent="0.25">
      <c r="A951" t="s">
        <v>997</v>
      </c>
      <c r="B951" s="8">
        <v>71</v>
      </c>
      <c r="C951" s="9" t="s">
        <v>16</v>
      </c>
      <c r="D951" s="9" t="s">
        <v>17</v>
      </c>
      <c r="E951" s="1">
        <v>44961</v>
      </c>
      <c r="F951" s="9" t="s">
        <v>29</v>
      </c>
      <c r="G951" s="11">
        <v>3412</v>
      </c>
      <c r="H951" s="8">
        <v>89</v>
      </c>
      <c r="I951" s="8">
        <v>2</v>
      </c>
      <c r="J951" s="1" t="s">
        <v>126</v>
      </c>
    </row>
    <row r="952" spans="1:10" ht="13.8" x14ac:dyDescent="0.25">
      <c r="A952" t="s">
        <v>998</v>
      </c>
      <c r="B952" s="8">
        <v>35</v>
      </c>
      <c r="C952" s="9" t="s">
        <v>11</v>
      </c>
      <c r="D952" s="9" t="s">
        <v>21</v>
      </c>
      <c r="E952" s="1">
        <v>45344</v>
      </c>
      <c r="F952" s="9" t="s">
        <v>53</v>
      </c>
      <c r="G952" s="11">
        <v>9738</v>
      </c>
      <c r="H952" s="8">
        <v>92</v>
      </c>
      <c r="I952" s="8">
        <v>0</v>
      </c>
      <c r="J952" s="1" t="s">
        <v>14</v>
      </c>
    </row>
    <row r="953" spans="1:10" ht="13.8" x14ac:dyDescent="0.25">
      <c r="A953" t="s">
        <v>999</v>
      </c>
      <c r="B953" s="8">
        <v>87</v>
      </c>
      <c r="C953" s="9" t="s">
        <v>16</v>
      </c>
      <c r="D953" s="9" t="s">
        <v>17</v>
      </c>
      <c r="E953" s="1">
        <v>45616</v>
      </c>
      <c r="F953" s="9" t="s">
        <v>29</v>
      </c>
      <c r="G953" s="11">
        <v>9247</v>
      </c>
      <c r="H953" s="8">
        <v>69</v>
      </c>
      <c r="I953" s="8">
        <v>2</v>
      </c>
      <c r="J953" s="1" t="s">
        <v>54</v>
      </c>
    </row>
    <row r="954" spans="1:10" ht="13.8" x14ac:dyDescent="0.25">
      <c r="A954" t="s">
        <v>1000</v>
      </c>
      <c r="B954" s="8">
        <v>79</v>
      </c>
      <c r="C954" s="9" t="s">
        <v>11</v>
      </c>
      <c r="D954" s="9" t="s">
        <v>62</v>
      </c>
      <c r="E954" s="1">
        <v>45617</v>
      </c>
      <c r="F954" s="9" t="s">
        <v>13</v>
      </c>
      <c r="G954" s="11">
        <v>14801</v>
      </c>
      <c r="H954" s="8">
        <v>88</v>
      </c>
      <c r="I954" s="8">
        <v>2</v>
      </c>
      <c r="J954" s="1" t="s">
        <v>54</v>
      </c>
    </row>
    <row r="955" spans="1:10" ht="13.8" x14ac:dyDescent="0.25">
      <c r="A955" t="s">
        <v>1001</v>
      </c>
      <c r="B955" s="8">
        <v>76</v>
      </c>
      <c r="C955" s="9" t="s">
        <v>11</v>
      </c>
      <c r="D955" s="9" t="s">
        <v>12</v>
      </c>
      <c r="E955" s="1">
        <v>45059</v>
      </c>
      <c r="F955" s="9" t="s">
        <v>53</v>
      </c>
      <c r="G955" s="11">
        <v>15407</v>
      </c>
      <c r="H955" s="8">
        <v>60</v>
      </c>
      <c r="I955" s="8">
        <v>5</v>
      </c>
      <c r="J955" s="1" t="s">
        <v>35</v>
      </c>
    </row>
    <row r="956" spans="1:10" ht="13.8" x14ac:dyDescent="0.25">
      <c r="A956" t="s">
        <v>1002</v>
      </c>
      <c r="B956" s="8">
        <v>36</v>
      </c>
      <c r="C956" s="9" t="s">
        <v>11</v>
      </c>
      <c r="D956" s="9" t="s">
        <v>62</v>
      </c>
      <c r="E956" s="1">
        <v>45521</v>
      </c>
      <c r="F956" s="9" t="s">
        <v>18</v>
      </c>
      <c r="G956" s="11">
        <v>28334</v>
      </c>
      <c r="H956" s="8">
        <v>47</v>
      </c>
      <c r="I956" s="8">
        <v>3</v>
      </c>
      <c r="J956" s="1" t="s">
        <v>33</v>
      </c>
    </row>
    <row r="957" spans="1:10" ht="13.8" x14ac:dyDescent="0.25">
      <c r="A957" t="s">
        <v>1003</v>
      </c>
      <c r="B957" s="8">
        <v>24</v>
      </c>
      <c r="C957" s="9" t="s">
        <v>11</v>
      </c>
      <c r="D957" s="9" t="s">
        <v>12</v>
      </c>
      <c r="E957" s="1">
        <v>45009</v>
      </c>
      <c r="F957" s="9" t="s">
        <v>29</v>
      </c>
      <c r="G957" s="11">
        <v>34481</v>
      </c>
      <c r="H957" s="8">
        <v>60</v>
      </c>
      <c r="I957" s="8">
        <v>5</v>
      </c>
      <c r="J957" s="1" t="s">
        <v>63</v>
      </c>
    </row>
    <row r="958" spans="1:10" ht="13.8" x14ac:dyDescent="0.25">
      <c r="A958" t="s">
        <v>1004</v>
      </c>
      <c r="B958" s="8">
        <v>48</v>
      </c>
      <c r="C958" s="9" t="s">
        <v>11</v>
      </c>
      <c r="D958" s="9" t="s">
        <v>12</v>
      </c>
      <c r="E958" s="1">
        <v>45117</v>
      </c>
      <c r="F958" s="9" t="s">
        <v>26</v>
      </c>
      <c r="G958" s="11">
        <v>26471</v>
      </c>
      <c r="H958" s="8">
        <v>67</v>
      </c>
      <c r="I958" s="8">
        <v>0</v>
      </c>
      <c r="J958" s="1" t="s">
        <v>78</v>
      </c>
    </row>
    <row r="959" spans="1:10" ht="13.8" x14ac:dyDescent="0.25">
      <c r="A959" t="s">
        <v>1005</v>
      </c>
      <c r="B959" s="8">
        <v>75</v>
      </c>
      <c r="C959" s="9" t="s">
        <v>16</v>
      </c>
      <c r="D959" s="9" t="s">
        <v>12</v>
      </c>
      <c r="E959" s="1">
        <v>45131</v>
      </c>
      <c r="F959" s="9" t="s">
        <v>53</v>
      </c>
      <c r="G959" s="11">
        <v>20099</v>
      </c>
      <c r="H959" s="8">
        <v>79</v>
      </c>
      <c r="I959" s="8">
        <v>5</v>
      </c>
      <c r="J959" s="1" t="s">
        <v>78</v>
      </c>
    </row>
    <row r="960" spans="1:10" ht="13.8" x14ac:dyDescent="0.25">
      <c r="A960" t="s">
        <v>1006</v>
      </c>
      <c r="B960" s="8">
        <v>26</v>
      </c>
      <c r="C960" s="9" t="s">
        <v>11</v>
      </c>
      <c r="D960" s="9" t="s">
        <v>21</v>
      </c>
      <c r="E960" s="1">
        <v>44935</v>
      </c>
      <c r="F960" s="9" t="s">
        <v>53</v>
      </c>
      <c r="G960" s="11">
        <v>15067</v>
      </c>
      <c r="H960" s="8">
        <v>71</v>
      </c>
      <c r="I960" s="8">
        <v>0</v>
      </c>
      <c r="J960" s="1" t="s">
        <v>95</v>
      </c>
    </row>
    <row r="961" spans="1:10" ht="13.8" x14ac:dyDescent="0.25">
      <c r="A961" t="s">
        <v>1007</v>
      </c>
      <c r="B961" s="8">
        <v>54</v>
      </c>
      <c r="C961" s="9" t="s">
        <v>16</v>
      </c>
      <c r="D961" s="9" t="s">
        <v>12</v>
      </c>
      <c r="E961" s="1">
        <v>45557</v>
      </c>
      <c r="F961" s="9" t="s">
        <v>26</v>
      </c>
      <c r="G961" s="11">
        <v>42560</v>
      </c>
      <c r="H961" s="8">
        <v>67</v>
      </c>
      <c r="I961" s="8">
        <v>4</v>
      </c>
      <c r="J961" s="1" t="s">
        <v>45</v>
      </c>
    </row>
    <row r="962" spans="1:10" ht="13.8" x14ac:dyDescent="0.25">
      <c r="A962" t="s">
        <v>1008</v>
      </c>
      <c r="B962" s="8">
        <v>79</v>
      </c>
      <c r="C962" s="9" t="s">
        <v>16</v>
      </c>
      <c r="D962" s="9" t="s">
        <v>12</v>
      </c>
      <c r="E962" s="1">
        <v>44990</v>
      </c>
      <c r="F962" s="9" t="s">
        <v>29</v>
      </c>
      <c r="G962" s="11">
        <v>12475</v>
      </c>
      <c r="H962" s="8">
        <v>93</v>
      </c>
      <c r="I962" s="8">
        <v>1</v>
      </c>
      <c r="J962" s="1" t="s">
        <v>63</v>
      </c>
    </row>
    <row r="963" spans="1:10" ht="13.8" x14ac:dyDescent="0.25">
      <c r="A963" t="s">
        <v>1009</v>
      </c>
      <c r="B963" s="8">
        <v>2</v>
      </c>
      <c r="C963" s="9" t="s">
        <v>11</v>
      </c>
      <c r="D963" s="9" t="s">
        <v>25</v>
      </c>
      <c r="E963" s="1">
        <v>45498</v>
      </c>
      <c r="F963" s="9" t="s">
        <v>22</v>
      </c>
      <c r="G963" s="11">
        <v>24467</v>
      </c>
      <c r="H963" s="8">
        <v>40</v>
      </c>
      <c r="I963" s="8">
        <v>3</v>
      </c>
      <c r="J963" s="1" t="s">
        <v>19</v>
      </c>
    </row>
    <row r="964" spans="1:10" ht="13.8" x14ac:dyDescent="0.25">
      <c r="A964" t="s">
        <v>1010</v>
      </c>
      <c r="B964" s="8">
        <v>65</v>
      </c>
      <c r="C964" s="9" t="s">
        <v>16</v>
      </c>
      <c r="D964" s="9" t="s">
        <v>17</v>
      </c>
      <c r="E964" s="1">
        <v>45558</v>
      </c>
      <c r="F964" s="9" t="s">
        <v>29</v>
      </c>
      <c r="G964" s="11">
        <v>27140</v>
      </c>
      <c r="H964" s="8">
        <v>60</v>
      </c>
      <c r="I964" s="8">
        <v>4</v>
      </c>
      <c r="J964" s="1" t="s">
        <v>45</v>
      </c>
    </row>
    <row r="965" spans="1:10" ht="13.8" x14ac:dyDescent="0.25">
      <c r="A965" t="s">
        <v>1011</v>
      </c>
      <c r="B965" s="8">
        <v>83</v>
      </c>
      <c r="C965" s="9" t="s">
        <v>11</v>
      </c>
      <c r="D965" s="9" t="s">
        <v>17</v>
      </c>
      <c r="E965" s="1">
        <v>45376</v>
      </c>
      <c r="F965" s="9" t="s">
        <v>13</v>
      </c>
      <c r="G965" s="11">
        <v>42454</v>
      </c>
      <c r="H965" s="8">
        <v>78</v>
      </c>
      <c r="I965" s="8">
        <v>3</v>
      </c>
      <c r="J965" s="1" t="s">
        <v>48</v>
      </c>
    </row>
    <row r="966" spans="1:10" ht="13.8" x14ac:dyDescent="0.25">
      <c r="A966" t="s">
        <v>1012</v>
      </c>
      <c r="B966" s="8">
        <v>19</v>
      </c>
      <c r="C966" s="9" t="s">
        <v>16</v>
      </c>
      <c r="D966" s="9" t="s">
        <v>25</v>
      </c>
      <c r="E966" s="1">
        <v>45122</v>
      </c>
      <c r="F966" s="9" t="s">
        <v>26</v>
      </c>
      <c r="G966" s="11">
        <v>25433</v>
      </c>
      <c r="H966" s="8">
        <v>71</v>
      </c>
      <c r="I966" s="8">
        <v>5</v>
      </c>
      <c r="J966" s="1" t="s">
        <v>78</v>
      </c>
    </row>
    <row r="967" spans="1:10" ht="13.8" x14ac:dyDescent="0.25">
      <c r="A967" t="s">
        <v>1013</v>
      </c>
      <c r="B967" s="8">
        <v>61</v>
      </c>
      <c r="C967" s="9" t="s">
        <v>11</v>
      </c>
      <c r="D967" s="9" t="s">
        <v>25</v>
      </c>
      <c r="E967" s="1">
        <v>45156</v>
      </c>
      <c r="F967" s="9" t="s">
        <v>26</v>
      </c>
      <c r="G967" s="11">
        <v>49237</v>
      </c>
      <c r="H967" s="8">
        <v>96</v>
      </c>
      <c r="I967" s="8">
        <v>4</v>
      </c>
      <c r="J967" s="1" t="s">
        <v>30</v>
      </c>
    </row>
    <row r="968" spans="1:10" ht="13.8" x14ac:dyDescent="0.25">
      <c r="A968" t="s">
        <v>1014</v>
      </c>
      <c r="B968" s="8">
        <v>83</v>
      </c>
      <c r="C968" s="9" t="s">
        <v>16</v>
      </c>
      <c r="D968" s="9" t="s">
        <v>17</v>
      </c>
      <c r="E968" s="1">
        <v>45330</v>
      </c>
      <c r="F968" s="9" t="s">
        <v>53</v>
      </c>
      <c r="G968" s="11">
        <v>6621</v>
      </c>
      <c r="H968" s="8">
        <v>87</v>
      </c>
      <c r="I968" s="8">
        <v>3</v>
      </c>
      <c r="J968" s="1" t="s">
        <v>14</v>
      </c>
    </row>
    <row r="969" spans="1:10" ht="13.8" x14ac:dyDescent="0.25">
      <c r="A969" t="s">
        <v>1015</v>
      </c>
      <c r="B969" s="8">
        <v>48</v>
      </c>
      <c r="C969" s="9" t="s">
        <v>16</v>
      </c>
      <c r="D969" s="9" t="s">
        <v>25</v>
      </c>
      <c r="E969" s="1">
        <v>45625</v>
      </c>
      <c r="F969" s="9" t="s">
        <v>26</v>
      </c>
      <c r="G969" s="11">
        <v>28247</v>
      </c>
      <c r="H969" s="8">
        <v>64</v>
      </c>
      <c r="I969" s="8">
        <v>5</v>
      </c>
      <c r="J969" s="1" t="s">
        <v>54</v>
      </c>
    </row>
    <row r="970" spans="1:10" ht="13.8" x14ac:dyDescent="0.25">
      <c r="A970" t="s">
        <v>1016</v>
      </c>
      <c r="B970" s="8">
        <v>49</v>
      </c>
      <c r="C970" s="9" t="s">
        <v>16</v>
      </c>
      <c r="D970" s="9" t="s">
        <v>62</v>
      </c>
      <c r="E970" s="1">
        <v>45532</v>
      </c>
      <c r="F970" s="9" t="s">
        <v>26</v>
      </c>
      <c r="G970" s="11">
        <v>36858</v>
      </c>
      <c r="H970" s="8">
        <v>80</v>
      </c>
      <c r="I970" s="8">
        <v>4</v>
      </c>
      <c r="J970" s="1" t="s">
        <v>33</v>
      </c>
    </row>
    <row r="971" spans="1:10" ht="13.8" x14ac:dyDescent="0.25">
      <c r="A971" t="s">
        <v>1017</v>
      </c>
      <c r="B971" s="8">
        <v>30</v>
      </c>
      <c r="C971" s="9" t="s">
        <v>11</v>
      </c>
      <c r="D971" s="9" t="s">
        <v>17</v>
      </c>
      <c r="E971" s="1">
        <v>45323</v>
      </c>
      <c r="F971" s="9" t="s">
        <v>22</v>
      </c>
      <c r="G971" s="11">
        <v>39547</v>
      </c>
      <c r="H971" s="8">
        <v>87</v>
      </c>
      <c r="I971" s="8">
        <v>5</v>
      </c>
      <c r="J971" s="1" t="s">
        <v>14</v>
      </c>
    </row>
    <row r="972" spans="1:10" ht="13.8" x14ac:dyDescent="0.25">
      <c r="A972" t="s">
        <v>1018</v>
      </c>
      <c r="B972" s="8">
        <v>23</v>
      </c>
      <c r="C972" s="9" t="s">
        <v>16</v>
      </c>
      <c r="D972" s="9" t="s">
        <v>12</v>
      </c>
      <c r="E972" s="1">
        <v>45107</v>
      </c>
      <c r="F972" s="9" t="s">
        <v>18</v>
      </c>
      <c r="G972" s="11">
        <v>32940</v>
      </c>
      <c r="H972" s="8">
        <v>52</v>
      </c>
      <c r="I972" s="8">
        <v>3</v>
      </c>
      <c r="J972" s="1" t="s">
        <v>38</v>
      </c>
    </row>
    <row r="973" spans="1:10" ht="13.8" x14ac:dyDescent="0.25">
      <c r="A973" t="s">
        <v>1019</v>
      </c>
      <c r="B973" s="8">
        <v>25</v>
      </c>
      <c r="C973" s="9" t="s">
        <v>11</v>
      </c>
      <c r="D973" s="9" t="s">
        <v>12</v>
      </c>
      <c r="E973" s="1">
        <v>44938</v>
      </c>
      <c r="F973" s="9" t="s">
        <v>22</v>
      </c>
      <c r="G973" s="11">
        <v>10872</v>
      </c>
      <c r="H973" s="8">
        <v>91</v>
      </c>
      <c r="I973" s="8">
        <v>3</v>
      </c>
      <c r="J973" s="1" t="s">
        <v>95</v>
      </c>
    </row>
    <row r="974" spans="1:10" ht="13.8" x14ac:dyDescent="0.25">
      <c r="A974" t="s">
        <v>1020</v>
      </c>
      <c r="B974" s="8">
        <v>52</v>
      </c>
      <c r="C974" s="9" t="s">
        <v>16</v>
      </c>
      <c r="D974" s="9" t="s">
        <v>25</v>
      </c>
      <c r="E974" s="1">
        <v>45504</v>
      </c>
      <c r="F974" s="9" t="s">
        <v>22</v>
      </c>
      <c r="G974" s="11">
        <v>4086</v>
      </c>
      <c r="H974" s="8">
        <v>90</v>
      </c>
      <c r="I974" s="8">
        <v>3</v>
      </c>
      <c r="J974" s="1" t="s">
        <v>19</v>
      </c>
    </row>
    <row r="975" spans="1:10" ht="13.8" x14ac:dyDescent="0.25">
      <c r="A975" t="s">
        <v>1021</v>
      </c>
      <c r="B975" s="8">
        <v>53</v>
      </c>
      <c r="C975" s="9" t="s">
        <v>11</v>
      </c>
      <c r="D975" s="9" t="s">
        <v>52</v>
      </c>
      <c r="E975" s="1">
        <v>45344</v>
      </c>
      <c r="F975" s="9" t="s">
        <v>26</v>
      </c>
      <c r="G975" s="11">
        <v>7384</v>
      </c>
      <c r="H975" s="8">
        <v>100</v>
      </c>
      <c r="I975" s="8">
        <v>4</v>
      </c>
      <c r="J975" s="1" t="s">
        <v>14</v>
      </c>
    </row>
    <row r="976" spans="1:10" ht="13.8" x14ac:dyDescent="0.25">
      <c r="A976" t="s">
        <v>1022</v>
      </c>
      <c r="B976" s="8">
        <v>21</v>
      </c>
      <c r="C976" s="9" t="s">
        <v>16</v>
      </c>
      <c r="D976" s="9" t="s">
        <v>17</v>
      </c>
      <c r="E976" s="1">
        <v>45462</v>
      </c>
      <c r="F976" s="9" t="s">
        <v>22</v>
      </c>
      <c r="G976" s="11">
        <v>31460</v>
      </c>
      <c r="H976" s="8">
        <v>75</v>
      </c>
      <c r="I976" s="8">
        <v>5</v>
      </c>
      <c r="J976" s="1" t="s">
        <v>42</v>
      </c>
    </row>
    <row r="977" spans="1:10" ht="13.8" x14ac:dyDescent="0.25">
      <c r="A977" t="s">
        <v>1023</v>
      </c>
      <c r="B977" s="8">
        <v>54</v>
      </c>
      <c r="C977" s="9" t="s">
        <v>16</v>
      </c>
      <c r="D977" s="9" t="s">
        <v>25</v>
      </c>
      <c r="E977" s="1">
        <v>45165</v>
      </c>
      <c r="F977" s="9" t="s">
        <v>26</v>
      </c>
      <c r="G977" s="11">
        <v>46729</v>
      </c>
      <c r="H977" s="8">
        <v>62</v>
      </c>
      <c r="I977" s="8">
        <v>1</v>
      </c>
      <c r="J977" s="1" t="s">
        <v>30</v>
      </c>
    </row>
    <row r="978" spans="1:10" ht="13.8" x14ac:dyDescent="0.25">
      <c r="A978" t="s">
        <v>1024</v>
      </c>
      <c r="B978" s="8">
        <v>48</v>
      </c>
      <c r="C978" s="9" t="s">
        <v>16</v>
      </c>
      <c r="D978" s="9" t="s">
        <v>52</v>
      </c>
      <c r="E978" s="1">
        <v>45428</v>
      </c>
      <c r="F978" s="9" t="s">
        <v>29</v>
      </c>
      <c r="G978" s="11">
        <v>30434</v>
      </c>
      <c r="H978" s="8">
        <v>89</v>
      </c>
      <c r="I978" s="8">
        <v>4</v>
      </c>
      <c r="J978" s="1" t="s">
        <v>66</v>
      </c>
    </row>
    <row r="979" spans="1:10" ht="13.8" x14ac:dyDescent="0.25">
      <c r="A979" t="s">
        <v>1025</v>
      </c>
      <c r="B979" s="8">
        <v>71</v>
      </c>
      <c r="C979" s="9" t="s">
        <v>11</v>
      </c>
      <c r="D979" s="9" t="s">
        <v>12</v>
      </c>
      <c r="E979" s="1">
        <v>45493</v>
      </c>
      <c r="F979" s="9" t="s">
        <v>22</v>
      </c>
      <c r="G979" s="11">
        <v>1889</v>
      </c>
      <c r="H979" s="8">
        <v>69</v>
      </c>
      <c r="I979" s="8">
        <v>2</v>
      </c>
      <c r="J979" s="1" t="s">
        <v>19</v>
      </c>
    </row>
    <row r="980" spans="1:10" ht="13.8" x14ac:dyDescent="0.25">
      <c r="A980" t="s">
        <v>1026</v>
      </c>
      <c r="B980" s="8">
        <v>25</v>
      </c>
      <c r="C980" s="9" t="s">
        <v>16</v>
      </c>
      <c r="D980" s="9" t="s">
        <v>52</v>
      </c>
      <c r="E980" s="1">
        <v>45417</v>
      </c>
      <c r="F980" s="9" t="s">
        <v>22</v>
      </c>
      <c r="G980" s="11">
        <v>23991</v>
      </c>
      <c r="H980" s="8">
        <v>90</v>
      </c>
      <c r="I980" s="8">
        <v>1</v>
      </c>
      <c r="J980" s="1" t="s">
        <v>66</v>
      </c>
    </row>
    <row r="981" spans="1:10" ht="13.8" x14ac:dyDescent="0.25">
      <c r="A981" t="s">
        <v>1027</v>
      </c>
      <c r="B981" s="8">
        <v>54</v>
      </c>
      <c r="C981" s="9" t="s">
        <v>16</v>
      </c>
      <c r="D981" s="9" t="s">
        <v>17</v>
      </c>
      <c r="E981" s="1">
        <v>45215</v>
      </c>
      <c r="F981" s="9" t="s">
        <v>22</v>
      </c>
      <c r="G981" s="11">
        <v>37157</v>
      </c>
      <c r="H981" s="8">
        <v>53</v>
      </c>
      <c r="I981" s="8">
        <v>1</v>
      </c>
      <c r="J981" s="1" t="s">
        <v>27</v>
      </c>
    </row>
    <row r="982" spans="1:10" ht="13.8" x14ac:dyDescent="0.25">
      <c r="A982" t="s">
        <v>1028</v>
      </c>
      <c r="B982" s="8">
        <v>42</v>
      </c>
      <c r="C982" s="9" t="s">
        <v>11</v>
      </c>
      <c r="D982" s="9" t="s">
        <v>17</v>
      </c>
      <c r="E982" s="1">
        <v>45064</v>
      </c>
      <c r="F982" s="9" t="s">
        <v>26</v>
      </c>
      <c r="G982" s="11">
        <v>10060</v>
      </c>
      <c r="H982" s="8">
        <v>68</v>
      </c>
      <c r="I982" s="8">
        <v>2</v>
      </c>
      <c r="J982" s="1" t="s">
        <v>35</v>
      </c>
    </row>
    <row r="983" spans="1:10" ht="13.8" x14ac:dyDescent="0.25">
      <c r="A983" t="s">
        <v>1029</v>
      </c>
      <c r="B983" s="8">
        <v>23</v>
      </c>
      <c r="C983" s="9" t="s">
        <v>16</v>
      </c>
      <c r="D983" s="9" t="s">
        <v>52</v>
      </c>
      <c r="E983" s="1">
        <v>45619</v>
      </c>
      <c r="F983" s="9" t="s">
        <v>22</v>
      </c>
      <c r="G983" s="11">
        <v>21216</v>
      </c>
      <c r="H983" s="8">
        <v>44</v>
      </c>
      <c r="I983" s="8">
        <v>1</v>
      </c>
      <c r="J983" s="1" t="s">
        <v>54</v>
      </c>
    </row>
    <row r="984" spans="1:10" ht="13.8" x14ac:dyDescent="0.25">
      <c r="A984" t="s">
        <v>1030</v>
      </c>
      <c r="B984" s="8">
        <v>85</v>
      </c>
      <c r="C984" s="9" t="s">
        <v>16</v>
      </c>
      <c r="D984" s="9" t="s">
        <v>25</v>
      </c>
      <c r="E984" s="1">
        <v>45087</v>
      </c>
      <c r="F984" s="9" t="s">
        <v>18</v>
      </c>
      <c r="G984" s="11">
        <v>31900</v>
      </c>
      <c r="H984" s="8">
        <v>94</v>
      </c>
      <c r="I984" s="8">
        <v>0</v>
      </c>
      <c r="J984" s="1" t="s">
        <v>38</v>
      </c>
    </row>
    <row r="985" spans="1:10" ht="13.8" x14ac:dyDescent="0.25">
      <c r="A985" t="s">
        <v>1031</v>
      </c>
      <c r="B985" s="8">
        <v>43</v>
      </c>
      <c r="C985" s="9" t="s">
        <v>11</v>
      </c>
      <c r="D985" s="9" t="s">
        <v>17</v>
      </c>
      <c r="E985" s="1">
        <v>45354</v>
      </c>
      <c r="F985" s="9" t="s">
        <v>26</v>
      </c>
      <c r="G985" s="11">
        <v>44936</v>
      </c>
      <c r="H985" s="8">
        <v>63</v>
      </c>
      <c r="I985" s="8">
        <v>0</v>
      </c>
      <c r="J985" s="1" t="s">
        <v>48</v>
      </c>
    </row>
    <row r="986" spans="1:10" ht="13.8" x14ac:dyDescent="0.25">
      <c r="A986" t="s">
        <v>1032</v>
      </c>
      <c r="B986" s="8">
        <v>19</v>
      </c>
      <c r="C986" s="9" t="s">
        <v>16</v>
      </c>
      <c r="D986" s="9" t="s">
        <v>17</v>
      </c>
      <c r="E986" s="1">
        <v>45425</v>
      </c>
      <c r="F986" s="9" t="s">
        <v>29</v>
      </c>
      <c r="G986" s="11">
        <v>752</v>
      </c>
      <c r="H986" s="8">
        <v>64</v>
      </c>
      <c r="I986" s="8">
        <v>5</v>
      </c>
      <c r="J986" s="1" t="s">
        <v>66</v>
      </c>
    </row>
    <row r="987" spans="1:10" ht="13.8" x14ac:dyDescent="0.25">
      <c r="A987" t="s">
        <v>1033</v>
      </c>
      <c r="B987" s="8">
        <v>14</v>
      </c>
      <c r="C987" s="9" t="s">
        <v>11</v>
      </c>
      <c r="D987" s="9" t="s">
        <v>62</v>
      </c>
      <c r="E987" s="1">
        <v>45017</v>
      </c>
      <c r="F987" s="9" t="s">
        <v>22</v>
      </c>
      <c r="G987" s="11">
        <v>45511</v>
      </c>
      <c r="H987" s="8">
        <v>88</v>
      </c>
      <c r="I987" s="8">
        <v>1</v>
      </c>
      <c r="J987" s="1" t="s">
        <v>80</v>
      </c>
    </row>
    <row r="988" spans="1:10" ht="13.8" x14ac:dyDescent="0.25">
      <c r="A988" t="s">
        <v>1034</v>
      </c>
      <c r="B988" s="8">
        <v>68</v>
      </c>
      <c r="C988" s="9" t="s">
        <v>16</v>
      </c>
      <c r="D988" s="9" t="s">
        <v>17</v>
      </c>
      <c r="E988" s="1">
        <v>45391</v>
      </c>
      <c r="F988" s="9" t="s">
        <v>29</v>
      </c>
      <c r="G988" s="11">
        <v>20847</v>
      </c>
      <c r="H988" s="8">
        <v>66</v>
      </c>
      <c r="I988" s="8">
        <v>2</v>
      </c>
      <c r="J988" s="1" t="s">
        <v>50</v>
      </c>
    </row>
    <row r="989" spans="1:10" ht="13.8" x14ac:dyDescent="0.25">
      <c r="A989" t="s">
        <v>1035</v>
      </c>
      <c r="B989" s="8">
        <v>26</v>
      </c>
      <c r="C989" s="9" t="s">
        <v>16</v>
      </c>
      <c r="D989" s="9" t="s">
        <v>17</v>
      </c>
      <c r="E989" s="1">
        <v>45591</v>
      </c>
      <c r="F989" s="9" t="s">
        <v>29</v>
      </c>
      <c r="G989" s="11">
        <v>14919</v>
      </c>
      <c r="H989" s="8">
        <v>82</v>
      </c>
      <c r="I989" s="8">
        <v>1</v>
      </c>
      <c r="J989" s="1" t="s">
        <v>92</v>
      </c>
    </row>
    <row r="990" spans="1:10" ht="13.8" x14ac:dyDescent="0.25">
      <c r="A990" t="s">
        <v>1036</v>
      </c>
      <c r="B990" s="8">
        <v>23</v>
      </c>
      <c r="C990" s="9" t="s">
        <v>16</v>
      </c>
      <c r="D990" s="9" t="s">
        <v>21</v>
      </c>
      <c r="E990" s="1">
        <v>44971</v>
      </c>
      <c r="F990" s="9" t="s">
        <v>26</v>
      </c>
      <c r="G990" s="11">
        <v>28953</v>
      </c>
      <c r="H990" s="8">
        <v>47</v>
      </c>
      <c r="I990" s="8">
        <v>1</v>
      </c>
      <c r="J990" s="1" t="s">
        <v>126</v>
      </c>
    </row>
    <row r="991" spans="1:10" ht="13.8" x14ac:dyDescent="0.25">
      <c r="A991" t="s">
        <v>1037</v>
      </c>
      <c r="B991" s="8">
        <v>60</v>
      </c>
      <c r="C991" s="9" t="s">
        <v>11</v>
      </c>
      <c r="D991" s="9" t="s">
        <v>17</v>
      </c>
      <c r="E991" s="1">
        <v>45158</v>
      </c>
      <c r="F991" s="9" t="s">
        <v>13</v>
      </c>
      <c r="G991" s="11">
        <v>25717</v>
      </c>
      <c r="H991" s="8">
        <v>89</v>
      </c>
      <c r="I991" s="8">
        <v>0</v>
      </c>
      <c r="J991" s="1" t="s">
        <v>30</v>
      </c>
    </row>
    <row r="992" spans="1:10" ht="13.8" x14ac:dyDescent="0.25">
      <c r="A992" t="s">
        <v>1038</v>
      </c>
      <c r="B992" s="8">
        <v>57</v>
      </c>
      <c r="C992" s="9" t="s">
        <v>16</v>
      </c>
      <c r="D992" s="9" t="s">
        <v>12</v>
      </c>
      <c r="E992" s="1">
        <v>45227</v>
      </c>
      <c r="F992" s="9" t="s">
        <v>29</v>
      </c>
      <c r="G992" s="11">
        <v>8020</v>
      </c>
      <c r="H992" s="8">
        <v>56</v>
      </c>
      <c r="I992" s="8">
        <v>1</v>
      </c>
      <c r="J992" s="1" t="s">
        <v>27</v>
      </c>
    </row>
    <row r="993" spans="1:10" ht="13.8" x14ac:dyDescent="0.25">
      <c r="A993" t="s">
        <v>1039</v>
      </c>
      <c r="B993" s="8">
        <v>23</v>
      </c>
      <c r="C993" s="9" t="s">
        <v>16</v>
      </c>
      <c r="D993" s="9" t="s">
        <v>62</v>
      </c>
      <c r="E993" s="1">
        <v>45113</v>
      </c>
      <c r="F993" s="9" t="s">
        <v>13</v>
      </c>
      <c r="G993" s="11">
        <v>28330</v>
      </c>
      <c r="H993" s="8">
        <v>79</v>
      </c>
      <c r="I993" s="8">
        <v>4</v>
      </c>
      <c r="J993" s="1" t="s">
        <v>78</v>
      </c>
    </row>
    <row r="994" spans="1:10" ht="13.8" x14ac:dyDescent="0.25">
      <c r="A994" t="s">
        <v>1040</v>
      </c>
      <c r="B994" s="8">
        <v>17</v>
      </c>
      <c r="C994" s="9" t="s">
        <v>16</v>
      </c>
      <c r="D994" s="9" t="s">
        <v>21</v>
      </c>
      <c r="E994" s="1">
        <v>45141</v>
      </c>
      <c r="F994" s="9" t="s">
        <v>26</v>
      </c>
      <c r="G994" s="11">
        <v>18347</v>
      </c>
      <c r="H994" s="8">
        <v>82</v>
      </c>
      <c r="I994" s="8">
        <v>1</v>
      </c>
      <c r="J994" s="1" t="s">
        <v>30</v>
      </c>
    </row>
    <row r="995" spans="1:10" ht="13.8" x14ac:dyDescent="0.25">
      <c r="A995" t="s">
        <v>1041</v>
      </c>
      <c r="B995" s="8">
        <v>40</v>
      </c>
      <c r="C995" s="9" t="s">
        <v>16</v>
      </c>
      <c r="D995" s="9" t="s">
        <v>12</v>
      </c>
      <c r="E995" s="1">
        <v>45279</v>
      </c>
      <c r="F995" s="9" t="s">
        <v>29</v>
      </c>
      <c r="G995" s="11">
        <v>45184</v>
      </c>
      <c r="H995" s="8">
        <v>46</v>
      </c>
      <c r="I995" s="8">
        <v>3</v>
      </c>
      <c r="J995" s="1" t="s">
        <v>57</v>
      </c>
    </row>
    <row r="996" spans="1:10" ht="13.8" x14ac:dyDescent="0.25">
      <c r="A996" t="s">
        <v>1042</v>
      </c>
      <c r="B996" s="8">
        <v>37</v>
      </c>
      <c r="C996" s="9" t="s">
        <v>11</v>
      </c>
      <c r="D996" s="9" t="s">
        <v>62</v>
      </c>
      <c r="E996" s="1">
        <v>45096</v>
      </c>
      <c r="F996" s="9" t="s">
        <v>18</v>
      </c>
      <c r="G996" s="11">
        <v>18282</v>
      </c>
      <c r="H996" s="8">
        <v>55</v>
      </c>
      <c r="I996" s="8">
        <v>1</v>
      </c>
      <c r="J996" s="1" t="s">
        <v>38</v>
      </c>
    </row>
    <row r="997" spans="1:10" ht="13.8" x14ac:dyDescent="0.25">
      <c r="A997" t="s">
        <v>1043</v>
      </c>
      <c r="B997" s="8">
        <v>17</v>
      </c>
      <c r="C997" s="9" t="s">
        <v>11</v>
      </c>
      <c r="D997" s="9" t="s">
        <v>52</v>
      </c>
      <c r="E997" s="1">
        <v>45624</v>
      </c>
      <c r="F997" s="9" t="s">
        <v>18</v>
      </c>
      <c r="G997" s="11">
        <v>40697</v>
      </c>
      <c r="H997" s="8">
        <v>81</v>
      </c>
      <c r="I997" s="8">
        <v>1</v>
      </c>
      <c r="J997" s="1" t="s">
        <v>54</v>
      </c>
    </row>
    <row r="998" spans="1:10" ht="13.8" x14ac:dyDescent="0.25">
      <c r="A998" t="s">
        <v>1044</v>
      </c>
      <c r="B998" s="8">
        <v>12</v>
      </c>
      <c r="C998" s="9" t="s">
        <v>16</v>
      </c>
      <c r="D998" s="9" t="s">
        <v>17</v>
      </c>
      <c r="E998" s="1">
        <v>45588</v>
      </c>
      <c r="F998" s="9" t="s">
        <v>29</v>
      </c>
      <c r="G998" s="11">
        <v>7588</v>
      </c>
      <c r="H998" s="8">
        <v>73</v>
      </c>
      <c r="I998" s="8">
        <v>0</v>
      </c>
      <c r="J998" s="1" t="s">
        <v>92</v>
      </c>
    </row>
    <row r="999" spans="1:10" ht="13.8" x14ac:dyDescent="0.25">
      <c r="A999" t="s">
        <v>1045</v>
      </c>
      <c r="B999" s="8">
        <v>29</v>
      </c>
      <c r="C999" s="9" t="s">
        <v>11</v>
      </c>
      <c r="D999" s="9" t="s">
        <v>21</v>
      </c>
      <c r="E999" s="1">
        <v>45407</v>
      </c>
      <c r="F999" s="9" t="s">
        <v>26</v>
      </c>
      <c r="G999" s="11">
        <v>25116</v>
      </c>
      <c r="H999" s="8">
        <v>68</v>
      </c>
      <c r="I999" s="8">
        <v>1</v>
      </c>
      <c r="J999" s="1" t="s">
        <v>50</v>
      </c>
    </row>
    <row r="1000" spans="1:10" ht="13.8" x14ac:dyDescent="0.25">
      <c r="A1000" t="s">
        <v>1046</v>
      </c>
      <c r="B1000" s="8">
        <v>71</v>
      </c>
      <c r="C1000" s="9" t="s">
        <v>16</v>
      </c>
      <c r="D1000" s="9" t="s">
        <v>25</v>
      </c>
      <c r="E1000" s="1">
        <v>45223</v>
      </c>
      <c r="F1000" s="9" t="s">
        <v>29</v>
      </c>
      <c r="G1000" s="11">
        <v>29368</v>
      </c>
      <c r="H1000" s="8">
        <v>61</v>
      </c>
      <c r="I1000" s="8">
        <v>0</v>
      </c>
      <c r="J1000" s="1" t="s">
        <v>27</v>
      </c>
    </row>
    <row r="1001" spans="1:10" ht="13.8" x14ac:dyDescent="0.25">
      <c r="A1001" t="s">
        <v>1047</v>
      </c>
      <c r="B1001" s="8">
        <v>37</v>
      </c>
      <c r="C1001" s="9" t="s">
        <v>16</v>
      </c>
      <c r="D1001" s="9" t="s">
        <v>17</v>
      </c>
      <c r="E1001" s="1">
        <v>45435</v>
      </c>
      <c r="F1001" s="9" t="s">
        <v>29</v>
      </c>
      <c r="G1001" s="11">
        <v>29929</v>
      </c>
      <c r="H1001" s="8">
        <v>51</v>
      </c>
      <c r="I1001" s="8">
        <v>5</v>
      </c>
      <c r="J1001" s="1" t="s">
        <v>66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DE5A7-336E-4EB2-976B-2F2FE7B51C66}">
  <dimension ref="A2:J1046"/>
  <sheetViews>
    <sheetView topLeftCell="A11" workbookViewId="0">
      <selection activeCell="B23" sqref="B23"/>
    </sheetView>
  </sheetViews>
  <sheetFormatPr defaultRowHeight="14.4" x14ac:dyDescent="0.25"/>
  <cols>
    <col min="1" max="1" width="12.09765625" customWidth="1"/>
    <col min="2" max="2" width="24.5" customWidth="1"/>
    <col min="3" max="3" width="30.8984375" customWidth="1"/>
    <col min="4" max="4" width="24.5" customWidth="1"/>
    <col min="6" max="6" width="12.3984375" customWidth="1"/>
    <col min="7" max="7" width="10.69921875" customWidth="1"/>
    <col min="8" max="8" width="17.69921875" customWidth="1"/>
    <col min="9" max="9" width="21.796875" customWidth="1"/>
  </cols>
  <sheetData>
    <row r="2" spans="1:10" ht="13.8" x14ac:dyDescent="0.25">
      <c r="F2" t="s">
        <v>1074</v>
      </c>
    </row>
    <row r="3" spans="1:10" ht="13.8" x14ac:dyDescent="0.25">
      <c r="A3" t="s">
        <v>1052</v>
      </c>
      <c r="B3" t="s">
        <v>1053</v>
      </c>
      <c r="C3" t="s">
        <v>1054</v>
      </c>
      <c r="D3" t="s">
        <v>1051</v>
      </c>
      <c r="F3" t="s">
        <v>1075</v>
      </c>
      <c r="G3" t="s">
        <v>1076</v>
      </c>
      <c r="H3" t="s">
        <v>1077</v>
      </c>
      <c r="I3" t="s">
        <v>1078</v>
      </c>
    </row>
    <row r="4" spans="1:10" ht="13.8" x14ac:dyDescent="0.25">
      <c r="A4" s="5">
        <v>1000</v>
      </c>
      <c r="B4" s="11">
        <v>24952.972000000002</v>
      </c>
      <c r="C4" s="8">
        <v>70.195999999999998</v>
      </c>
      <c r="D4" s="8">
        <v>2483</v>
      </c>
      <c r="F4" t="str">
        <f>TEXT(A4,"#,##")</f>
        <v>1,000</v>
      </c>
      <c r="G4" t="str">
        <f>TEXT(B4,"₹ #,##")</f>
        <v>₹ 24,953</v>
      </c>
      <c r="H4" t="str">
        <f t="shared" ref="G4:J4" si="0">TEXT(C4,"#,##")</f>
        <v>70</v>
      </c>
      <c r="I4" t="str">
        <f t="shared" si="0"/>
        <v>2,483</v>
      </c>
      <c r="J4" t="str">
        <f t="shared" si="0"/>
        <v/>
      </c>
    </row>
    <row r="7" spans="1:10" ht="13.8" x14ac:dyDescent="0.25">
      <c r="A7" s="3" t="s">
        <v>1048</v>
      </c>
      <c r="B7" t="s">
        <v>1052</v>
      </c>
    </row>
    <row r="8" spans="1:10" ht="13.8" x14ac:dyDescent="0.25">
      <c r="A8" s="4" t="s">
        <v>1079</v>
      </c>
      <c r="B8" s="5">
        <v>89</v>
      </c>
    </row>
    <row r="9" spans="1:10" ht="13.8" x14ac:dyDescent="0.25">
      <c r="A9" s="4" t="s">
        <v>1080</v>
      </c>
      <c r="B9" s="5">
        <v>85</v>
      </c>
    </row>
    <row r="10" spans="1:10" ht="13.8" x14ac:dyDescent="0.25">
      <c r="A10" s="4" t="s">
        <v>1081</v>
      </c>
      <c r="B10" s="5">
        <v>74</v>
      </c>
    </row>
    <row r="11" spans="1:10" ht="13.8" x14ac:dyDescent="0.25">
      <c r="A11" s="4" t="s">
        <v>1082</v>
      </c>
      <c r="B11" s="5">
        <v>91</v>
      </c>
      <c r="G11" s="3" t="s">
        <v>1091</v>
      </c>
      <c r="H11" t="s">
        <v>1052</v>
      </c>
      <c r="I11" t="s">
        <v>1074</v>
      </c>
    </row>
    <row r="12" spans="1:10" ht="13.8" x14ac:dyDescent="0.25">
      <c r="A12" s="4" t="s">
        <v>1083</v>
      </c>
      <c r="B12" s="5">
        <v>83</v>
      </c>
      <c r="G12" s="4" t="s">
        <v>11</v>
      </c>
      <c r="H12" s="5">
        <v>484</v>
      </c>
    </row>
    <row r="13" spans="1:10" ht="13.8" x14ac:dyDescent="0.25">
      <c r="A13" s="4" t="s">
        <v>1084</v>
      </c>
      <c r="B13" s="5">
        <v>90</v>
      </c>
      <c r="G13" s="4" t="s">
        <v>16</v>
      </c>
      <c r="H13" s="5">
        <v>516</v>
      </c>
    </row>
    <row r="14" spans="1:10" ht="13.8" x14ac:dyDescent="0.25">
      <c r="A14" s="4" t="s">
        <v>1085</v>
      </c>
      <c r="B14" s="5">
        <v>90</v>
      </c>
      <c r="G14" s="4" t="s">
        <v>1049</v>
      </c>
      <c r="H14" s="16">
        <v>1000</v>
      </c>
    </row>
    <row r="15" spans="1:10" ht="13.8" x14ac:dyDescent="0.25">
      <c r="A15" s="4" t="s">
        <v>1086</v>
      </c>
      <c r="B15" s="5">
        <v>83</v>
      </c>
    </row>
    <row r="16" spans="1:10" ht="13.8" x14ac:dyDescent="0.25">
      <c r="A16" s="4" t="s">
        <v>1087</v>
      </c>
      <c r="B16" s="5">
        <v>91</v>
      </c>
    </row>
    <row r="17" spans="1:2" ht="13.8" x14ac:dyDescent="0.25">
      <c r="A17" s="4" t="s">
        <v>1088</v>
      </c>
      <c r="B17" s="5">
        <v>85</v>
      </c>
    </row>
    <row r="18" spans="1:2" ht="13.8" x14ac:dyDescent="0.25">
      <c r="A18" s="4" t="s">
        <v>1089</v>
      </c>
      <c r="B18" s="5">
        <v>90</v>
      </c>
    </row>
    <row r="19" spans="1:2" ht="13.8" x14ac:dyDescent="0.25">
      <c r="A19" s="4" t="s">
        <v>1090</v>
      </c>
      <c r="B19" s="5">
        <v>49</v>
      </c>
    </row>
    <row r="20" spans="1:2" ht="13.8" x14ac:dyDescent="0.25">
      <c r="A20" s="4" t="s">
        <v>1049</v>
      </c>
      <c r="B20" s="5">
        <v>1000</v>
      </c>
    </row>
    <row r="21" spans="1:2" ht="13.8" x14ac:dyDescent="0.25"/>
    <row r="22" spans="1:2" ht="13.8" x14ac:dyDescent="0.25">
      <c r="A22" s="3" t="s">
        <v>1048</v>
      </c>
      <c r="B22" t="s">
        <v>1050</v>
      </c>
    </row>
    <row r="23" spans="1:2" ht="13.8" x14ac:dyDescent="0.25">
      <c r="A23" s="4" t="s">
        <v>17</v>
      </c>
      <c r="B23" s="16">
        <v>4395196</v>
      </c>
    </row>
    <row r="24" spans="1:2" ht="13.8" x14ac:dyDescent="0.25">
      <c r="A24" s="4" t="s">
        <v>25</v>
      </c>
      <c r="B24" s="16">
        <v>4073237</v>
      </c>
    </row>
    <row r="25" spans="1:2" ht="13.8" x14ac:dyDescent="0.25">
      <c r="A25" s="4" t="s">
        <v>52</v>
      </c>
      <c r="B25" s="16">
        <v>3890654</v>
      </c>
    </row>
    <row r="26" spans="1:2" ht="13.8" x14ac:dyDescent="0.25">
      <c r="A26" s="4" t="s">
        <v>21</v>
      </c>
      <c r="B26" s="16">
        <v>4201015</v>
      </c>
    </row>
    <row r="27" spans="1:2" ht="13.8" x14ac:dyDescent="0.25">
      <c r="A27" s="4" t="s">
        <v>12</v>
      </c>
      <c r="B27" s="16">
        <v>4470811</v>
      </c>
    </row>
    <row r="28" spans="1:2" ht="13.8" x14ac:dyDescent="0.25">
      <c r="A28" s="4" t="s">
        <v>62</v>
      </c>
      <c r="B28" s="16">
        <v>3922059</v>
      </c>
    </row>
    <row r="29" spans="1:2" ht="13.8" x14ac:dyDescent="0.25">
      <c r="A29" s="4" t="s">
        <v>1049</v>
      </c>
      <c r="B29" s="16">
        <v>24952972</v>
      </c>
    </row>
    <row r="30" spans="1:2" ht="13.8" x14ac:dyDescent="0.25"/>
    <row r="31" spans="1:2" ht="13.8" x14ac:dyDescent="0.25">
      <c r="A31" s="3" t="s">
        <v>1091</v>
      </c>
      <c r="B31" t="s">
        <v>1051</v>
      </c>
    </row>
    <row r="32" spans="1:2" ht="13.8" x14ac:dyDescent="0.25">
      <c r="A32" s="4" t="s">
        <v>17</v>
      </c>
      <c r="B32" s="8">
        <v>454</v>
      </c>
    </row>
    <row r="33" spans="1:2" ht="13.8" x14ac:dyDescent="0.25">
      <c r="A33" s="4" t="s">
        <v>25</v>
      </c>
      <c r="B33" s="8">
        <v>415</v>
      </c>
    </row>
    <row r="34" spans="1:2" ht="13.8" x14ac:dyDescent="0.25">
      <c r="A34" s="4" t="s">
        <v>52</v>
      </c>
      <c r="B34" s="8">
        <v>400</v>
      </c>
    </row>
    <row r="35" spans="1:2" ht="13.8" x14ac:dyDescent="0.25">
      <c r="A35" s="4" t="s">
        <v>21</v>
      </c>
      <c r="B35" s="8">
        <v>375</v>
      </c>
    </row>
    <row r="36" spans="1:2" ht="13.8" x14ac:dyDescent="0.25">
      <c r="A36" s="4" t="s">
        <v>12</v>
      </c>
      <c r="B36" s="8">
        <v>442</v>
      </c>
    </row>
    <row r="37" spans="1:2" ht="13.8" x14ac:dyDescent="0.25">
      <c r="A37" s="4" t="s">
        <v>62</v>
      </c>
      <c r="B37" s="8">
        <v>397</v>
      </c>
    </row>
    <row r="38" spans="1:2" ht="13.8" x14ac:dyDescent="0.25">
      <c r="A38" s="4" t="s">
        <v>1049</v>
      </c>
      <c r="B38" s="16">
        <v>2483</v>
      </c>
    </row>
    <row r="39" spans="1:2" ht="13.8" x14ac:dyDescent="0.25"/>
    <row r="40" spans="1:2" ht="13.8" x14ac:dyDescent="0.25">
      <c r="A40" s="3" t="s">
        <v>1091</v>
      </c>
      <c r="B40" t="s">
        <v>1054</v>
      </c>
    </row>
    <row r="41" spans="1:2" ht="13.8" x14ac:dyDescent="0.25">
      <c r="A41" s="17">
        <v>505</v>
      </c>
      <c r="B41" s="8">
        <v>72.5</v>
      </c>
    </row>
    <row r="42" spans="1:2" ht="13.8" x14ac:dyDescent="0.25">
      <c r="A42" s="17">
        <v>515</v>
      </c>
      <c r="B42" s="8">
        <v>72</v>
      </c>
    </row>
    <row r="43" spans="1:2" ht="13.8" x14ac:dyDescent="0.25">
      <c r="A43" s="17">
        <v>555</v>
      </c>
      <c r="B43" s="8">
        <v>76</v>
      </c>
    </row>
    <row r="44" spans="1:2" ht="13.8" x14ac:dyDescent="0.25">
      <c r="A44" s="17">
        <v>561</v>
      </c>
      <c r="B44" s="8">
        <v>92</v>
      </c>
    </row>
    <row r="45" spans="1:2" ht="13.8" x14ac:dyDescent="0.25">
      <c r="A45" s="17">
        <v>671</v>
      </c>
      <c r="B45" s="8">
        <v>74</v>
      </c>
    </row>
    <row r="46" spans="1:2" ht="13.8" x14ac:dyDescent="0.25">
      <c r="A46" s="17">
        <v>707</v>
      </c>
      <c r="B46" s="8">
        <v>71</v>
      </c>
    </row>
    <row r="47" spans="1:2" ht="13.8" x14ac:dyDescent="0.25">
      <c r="A47" s="17">
        <v>752</v>
      </c>
      <c r="B47" s="8">
        <v>64</v>
      </c>
    </row>
    <row r="48" spans="1:2" ht="13.8" x14ac:dyDescent="0.25">
      <c r="A48" s="17">
        <v>759</v>
      </c>
      <c r="B48" s="8">
        <v>87</v>
      </c>
    </row>
    <row r="49" spans="1:2" ht="13.8" x14ac:dyDescent="0.25">
      <c r="A49" s="17">
        <v>776</v>
      </c>
      <c r="B49" s="8">
        <v>76</v>
      </c>
    </row>
    <row r="50" spans="1:2" ht="13.8" x14ac:dyDescent="0.25">
      <c r="A50" s="17">
        <v>783</v>
      </c>
      <c r="B50" s="8">
        <v>73</v>
      </c>
    </row>
    <row r="51" spans="1:2" ht="13.8" x14ac:dyDescent="0.25">
      <c r="A51" s="17">
        <v>850</v>
      </c>
      <c r="B51" s="8">
        <v>57</v>
      </c>
    </row>
    <row r="52" spans="1:2" ht="13.8" x14ac:dyDescent="0.25">
      <c r="A52" s="17">
        <v>902</v>
      </c>
      <c r="B52" s="8">
        <v>45</v>
      </c>
    </row>
    <row r="53" spans="1:2" ht="13.8" x14ac:dyDescent="0.25">
      <c r="A53" s="17">
        <v>966</v>
      </c>
      <c r="B53" s="8">
        <v>74</v>
      </c>
    </row>
    <row r="54" spans="1:2" ht="13.8" x14ac:dyDescent="0.25">
      <c r="A54" s="17">
        <v>983</v>
      </c>
      <c r="B54" s="8">
        <v>89</v>
      </c>
    </row>
    <row r="55" spans="1:2" ht="13.8" x14ac:dyDescent="0.25">
      <c r="A55" s="17">
        <v>1054</v>
      </c>
      <c r="B55" s="8">
        <v>97</v>
      </c>
    </row>
    <row r="56" spans="1:2" ht="13.8" x14ac:dyDescent="0.25">
      <c r="A56" s="17">
        <v>1093</v>
      </c>
      <c r="B56" s="8">
        <v>76</v>
      </c>
    </row>
    <row r="57" spans="1:2" ht="13.8" x14ac:dyDescent="0.25">
      <c r="A57" s="17">
        <v>1200</v>
      </c>
      <c r="B57" s="8">
        <v>49</v>
      </c>
    </row>
    <row r="58" spans="1:2" ht="13.8" x14ac:dyDescent="0.25">
      <c r="A58" s="17">
        <v>1267</v>
      </c>
      <c r="B58" s="8">
        <v>46</v>
      </c>
    </row>
    <row r="59" spans="1:2" ht="13.8" x14ac:dyDescent="0.25">
      <c r="A59" s="17">
        <v>1282</v>
      </c>
      <c r="B59" s="8">
        <v>40</v>
      </c>
    </row>
    <row r="60" spans="1:2" ht="13.8" x14ac:dyDescent="0.25">
      <c r="A60" s="17">
        <v>1444</v>
      </c>
      <c r="B60" s="8">
        <v>71</v>
      </c>
    </row>
    <row r="61" spans="1:2" ht="13.8" x14ac:dyDescent="0.25">
      <c r="A61" s="17">
        <v>1510</v>
      </c>
      <c r="B61" s="8">
        <v>72</v>
      </c>
    </row>
    <row r="62" spans="1:2" ht="13.8" x14ac:dyDescent="0.25">
      <c r="A62" s="17">
        <v>1581</v>
      </c>
      <c r="B62" s="8">
        <v>56</v>
      </c>
    </row>
    <row r="63" spans="1:2" ht="13.8" x14ac:dyDescent="0.25">
      <c r="A63" s="17">
        <v>1585</v>
      </c>
      <c r="B63" s="8">
        <v>44</v>
      </c>
    </row>
    <row r="64" spans="1:2" ht="13.8" x14ac:dyDescent="0.25">
      <c r="A64" s="17">
        <v>1592</v>
      </c>
      <c r="B64" s="8">
        <v>90</v>
      </c>
    </row>
    <row r="65" spans="1:2" ht="13.8" x14ac:dyDescent="0.25">
      <c r="A65" s="17">
        <v>1692</v>
      </c>
      <c r="B65" s="8">
        <v>75</v>
      </c>
    </row>
    <row r="66" spans="1:2" ht="13.8" x14ac:dyDescent="0.25">
      <c r="A66" s="17">
        <v>1706</v>
      </c>
      <c r="B66" s="8">
        <v>51</v>
      </c>
    </row>
    <row r="67" spans="1:2" ht="13.8" x14ac:dyDescent="0.25">
      <c r="A67" s="17">
        <v>1712</v>
      </c>
      <c r="B67" s="8">
        <v>65</v>
      </c>
    </row>
    <row r="68" spans="1:2" ht="13.8" x14ac:dyDescent="0.25">
      <c r="A68" s="17">
        <v>1745</v>
      </c>
      <c r="B68" s="8">
        <v>44</v>
      </c>
    </row>
    <row r="69" spans="1:2" ht="13.8" x14ac:dyDescent="0.25">
      <c r="A69" s="17">
        <v>1751</v>
      </c>
      <c r="B69" s="8">
        <v>99</v>
      </c>
    </row>
    <row r="70" spans="1:2" ht="13.8" x14ac:dyDescent="0.25">
      <c r="A70" s="17">
        <v>1766</v>
      </c>
      <c r="B70" s="8">
        <v>76</v>
      </c>
    </row>
    <row r="71" spans="1:2" ht="13.8" x14ac:dyDescent="0.25">
      <c r="A71" s="17">
        <v>1794</v>
      </c>
      <c r="B71" s="8">
        <v>67</v>
      </c>
    </row>
    <row r="72" spans="1:2" ht="13.8" x14ac:dyDescent="0.25">
      <c r="A72" s="17">
        <v>1814</v>
      </c>
      <c r="B72" s="8">
        <v>43</v>
      </c>
    </row>
    <row r="73" spans="1:2" ht="13.8" x14ac:dyDescent="0.25">
      <c r="A73" s="17">
        <v>1819</v>
      </c>
      <c r="B73" s="8">
        <v>96</v>
      </c>
    </row>
    <row r="74" spans="1:2" ht="13.8" x14ac:dyDescent="0.25">
      <c r="A74" s="17">
        <v>1846</v>
      </c>
      <c r="B74" s="8">
        <v>60</v>
      </c>
    </row>
    <row r="75" spans="1:2" ht="13.8" x14ac:dyDescent="0.25">
      <c r="A75" s="17">
        <v>1865</v>
      </c>
      <c r="B75" s="8">
        <v>49</v>
      </c>
    </row>
    <row r="76" spans="1:2" ht="13.8" x14ac:dyDescent="0.25">
      <c r="A76" s="17">
        <v>1889</v>
      </c>
      <c r="B76" s="8">
        <v>69</v>
      </c>
    </row>
    <row r="77" spans="1:2" ht="13.8" x14ac:dyDescent="0.25">
      <c r="A77" s="17">
        <v>1944</v>
      </c>
      <c r="B77" s="8">
        <v>61</v>
      </c>
    </row>
    <row r="78" spans="1:2" ht="13.8" x14ac:dyDescent="0.25">
      <c r="A78" s="17">
        <v>1967</v>
      </c>
      <c r="B78" s="8">
        <v>68</v>
      </c>
    </row>
    <row r="79" spans="1:2" ht="13.8" x14ac:dyDescent="0.25">
      <c r="A79" s="17">
        <v>1974</v>
      </c>
      <c r="B79" s="8">
        <v>97</v>
      </c>
    </row>
    <row r="80" spans="1:2" ht="13.8" x14ac:dyDescent="0.25">
      <c r="A80" s="17">
        <v>2085</v>
      </c>
      <c r="B80" s="8">
        <v>50</v>
      </c>
    </row>
    <row r="81" spans="1:2" ht="13.8" x14ac:dyDescent="0.25">
      <c r="A81" s="17">
        <v>2088</v>
      </c>
      <c r="B81" s="8">
        <v>86</v>
      </c>
    </row>
    <row r="82" spans="1:2" ht="13.8" x14ac:dyDescent="0.25">
      <c r="A82" s="17">
        <v>2148</v>
      </c>
      <c r="B82" s="8">
        <v>74</v>
      </c>
    </row>
    <row r="83" spans="1:2" ht="13.8" x14ac:dyDescent="0.25">
      <c r="A83" s="17">
        <v>2286</v>
      </c>
      <c r="B83" s="8">
        <v>93</v>
      </c>
    </row>
    <row r="84" spans="1:2" ht="13.8" x14ac:dyDescent="0.25">
      <c r="A84" s="17">
        <v>2327</v>
      </c>
      <c r="B84" s="8">
        <v>69</v>
      </c>
    </row>
    <row r="85" spans="1:2" ht="13.8" x14ac:dyDescent="0.25">
      <c r="A85" s="17">
        <v>2358</v>
      </c>
      <c r="B85" s="8">
        <v>92</v>
      </c>
    </row>
    <row r="86" spans="1:2" ht="13.8" x14ac:dyDescent="0.25">
      <c r="A86" s="17">
        <v>2369</v>
      </c>
      <c r="B86" s="8">
        <v>62</v>
      </c>
    </row>
    <row r="87" spans="1:2" ht="13.8" x14ac:dyDescent="0.25">
      <c r="A87" s="17">
        <v>2391</v>
      </c>
      <c r="B87" s="8">
        <v>69</v>
      </c>
    </row>
    <row r="88" spans="1:2" ht="13.8" x14ac:dyDescent="0.25">
      <c r="A88" s="17">
        <v>2467</v>
      </c>
      <c r="B88" s="8">
        <v>98</v>
      </c>
    </row>
    <row r="89" spans="1:2" ht="13.8" x14ac:dyDescent="0.25">
      <c r="A89" s="17">
        <v>2509</v>
      </c>
      <c r="B89" s="8">
        <v>41</v>
      </c>
    </row>
    <row r="90" spans="1:2" ht="13.8" x14ac:dyDescent="0.25">
      <c r="A90" s="17">
        <v>2522</v>
      </c>
      <c r="B90" s="8">
        <v>72</v>
      </c>
    </row>
    <row r="91" spans="1:2" ht="13.8" x14ac:dyDescent="0.25">
      <c r="A91" s="17">
        <v>2531</v>
      </c>
      <c r="B91" s="8">
        <v>91</v>
      </c>
    </row>
    <row r="92" spans="1:2" ht="13.8" x14ac:dyDescent="0.25">
      <c r="A92" s="17">
        <v>2542</v>
      </c>
      <c r="B92" s="8">
        <v>79</v>
      </c>
    </row>
    <row r="93" spans="1:2" ht="13.8" x14ac:dyDescent="0.25">
      <c r="A93" s="17">
        <v>2562</v>
      </c>
      <c r="B93" s="8">
        <v>90</v>
      </c>
    </row>
    <row r="94" spans="1:2" ht="13.8" x14ac:dyDescent="0.25">
      <c r="A94" s="17">
        <v>2601</v>
      </c>
      <c r="B94" s="8">
        <v>68</v>
      </c>
    </row>
    <row r="95" spans="1:2" ht="13.8" x14ac:dyDescent="0.25">
      <c r="A95" s="17">
        <v>2612</v>
      </c>
      <c r="B95" s="8">
        <v>96</v>
      </c>
    </row>
    <row r="96" spans="1:2" ht="13.8" x14ac:dyDescent="0.25">
      <c r="A96" s="17">
        <v>2625</v>
      </c>
      <c r="B96" s="8">
        <v>85</v>
      </c>
    </row>
    <row r="97" spans="1:2" ht="13.8" x14ac:dyDescent="0.25">
      <c r="A97" s="17">
        <v>2643</v>
      </c>
      <c r="B97" s="8">
        <v>66</v>
      </c>
    </row>
    <row r="98" spans="1:2" ht="13.8" x14ac:dyDescent="0.25">
      <c r="A98" s="17">
        <v>2808</v>
      </c>
      <c r="B98" s="8">
        <v>73</v>
      </c>
    </row>
    <row r="99" spans="1:2" ht="13.8" x14ac:dyDescent="0.25">
      <c r="A99" s="17">
        <v>2855</v>
      </c>
      <c r="B99" s="8">
        <v>57</v>
      </c>
    </row>
    <row r="100" spans="1:2" ht="13.8" x14ac:dyDescent="0.25">
      <c r="A100" s="17">
        <v>2904</v>
      </c>
      <c r="B100" s="8">
        <v>59</v>
      </c>
    </row>
    <row r="101" spans="1:2" ht="13.8" x14ac:dyDescent="0.25">
      <c r="A101" s="17">
        <v>2914</v>
      </c>
      <c r="B101" s="8">
        <v>57</v>
      </c>
    </row>
    <row r="102" spans="1:2" ht="13.8" x14ac:dyDescent="0.25">
      <c r="A102" s="17">
        <v>2926</v>
      </c>
      <c r="B102" s="8">
        <v>79</v>
      </c>
    </row>
    <row r="103" spans="1:2" ht="13.8" x14ac:dyDescent="0.25">
      <c r="A103" s="17">
        <v>3035</v>
      </c>
      <c r="B103" s="8">
        <v>63</v>
      </c>
    </row>
    <row r="104" spans="1:2" ht="13.8" x14ac:dyDescent="0.25">
      <c r="A104" s="17">
        <v>3069</v>
      </c>
      <c r="B104" s="8">
        <v>63</v>
      </c>
    </row>
    <row r="105" spans="1:2" ht="13.8" x14ac:dyDescent="0.25">
      <c r="A105" s="17">
        <v>3085</v>
      </c>
      <c r="B105" s="8">
        <v>54</v>
      </c>
    </row>
    <row r="106" spans="1:2" ht="13.8" x14ac:dyDescent="0.25">
      <c r="A106" s="17">
        <v>3105</v>
      </c>
      <c r="B106" s="8">
        <v>87</v>
      </c>
    </row>
    <row r="107" spans="1:2" ht="13.8" x14ac:dyDescent="0.25">
      <c r="A107" s="17">
        <v>3310</v>
      </c>
      <c r="B107" s="8">
        <v>48</v>
      </c>
    </row>
    <row r="108" spans="1:2" ht="13.8" x14ac:dyDescent="0.25">
      <c r="A108" s="17">
        <v>3314</v>
      </c>
      <c r="B108" s="8">
        <v>62</v>
      </c>
    </row>
    <row r="109" spans="1:2" ht="13.8" x14ac:dyDescent="0.25">
      <c r="A109" s="17">
        <v>3412</v>
      </c>
      <c r="B109" s="8">
        <v>89</v>
      </c>
    </row>
    <row r="110" spans="1:2" ht="13.8" x14ac:dyDescent="0.25">
      <c r="A110" s="17">
        <v>3494</v>
      </c>
      <c r="B110" s="8">
        <v>93</v>
      </c>
    </row>
    <row r="111" spans="1:2" ht="13.8" x14ac:dyDescent="0.25">
      <c r="A111" s="17">
        <v>3573</v>
      </c>
      <c r="B111" s="8">
        <v>44</v>
      </c>
    </row>
    <row r="112" spans="1:2" ht="13.8" x14ac:dyDescent="0.25">
      <c r="A112" s="17">
        <v>3578</v>
      </c>
      <c r="B112" s="8">
        <v>71</v>
      </c>
    </row>
    <row r="113" spans="1:2" ht="13.8" x14ac:dyDescent="0.25">
      <c r="A113" s="17">
        <v>3656</v>
      </c>
      <c r="B113" s="8">
        <v>41</v>
      </c>
    </row>
    <row r="114" spans="1:2" ht="13.8" x14ac:dyDescent="0.25">
      <c r="A114" s="17">
        <v>3670</v>
      </c>
      <c r="B114" s="8">
        <v>75</v>
      </c>
    </row>
    <row r="115" spans="1:2" ht="13.8" x14ac:dyDescent="0.25">
      <c r="A115" s="17">
        <v>3771</v>
      </c>
      <c r="B115" s="8">
        <v>97</v>
      </c>
    </row>
    <row r="116" spans="1:2" ht="13.8" x14ac:dyDescent="0.25">
      <c r="A116" s="17">
        <v>3787</v>
      </c>
      <c r="B116" s="8">
        <v>94</v>
      </c>
    </row>
    <row r="117" spans="1:2" ht="13.8" x14ac:dyDescent="0.25">
      <c r="A117" s="17">
        <v>3906</v>
      </c>
      <c r="B117" s="8">
        <v>80</v>
      </c>
    </row>
    <row r="118" spans="1:2" ht="13.8" x14ac:dyDescent="0.25">
      <c r="A118" s="17">
        <v>3985</v>
      </c>
      <c r="B118" s="8">
        <v>72</v>
      </c>
    </row>
    <row r="119" spans="1:2" ht="13.8" x14ac:dyDescent="0.25">
      <c r="A119" s="17">
        <v>4036</v>
      </c>
      <c r="B119" s="8">
        <v>84</v>
      </c>
    </row>
    <row r="120" spans="1:2" ht="13.8" x14ac:dyDescent="0.25">
      <c r="A120" s="17">
        <v>4039</v>
      </c>
      <c r="B120" s="8">
        <v>99</v>
      </c>
    </row>
    <row r="121" spans="1:2" ht="13.8" x14ac:dyDescent="0.25">
      <c r="A121" s="17">
        <v>4045</v>
      </c>
      <c r="B121" s="8">
        <v>58</v>
      </c>
    </row>
    <row r="122" spans="1:2" ht="13.8" x14ac:dyDescent="0.25">
      <c r="A122" s="17">
        <v>4072</v>
      </c>
      <c r="B122" s="8">
        <v>69</v>
      </c>
    </row>
    <row r="123" spans="1:2" ht="13.8" x14ac:dyDescent="0.25">
      <c r="A123" s="17">
        <v>4086</v>
      </c>
      <c r="B123" s="8">
        <v>90</v>
      </c>
    </row>
    <row r="124" spans="1:2" ht="13.8" x14ac:dyDescent="0.25">
      <c r="A124" s="17">
        <v>4216</v>
      </c>
      <c r="B124" s="8">
        <v>78</v>
      </c>
    </row>
    <row r="125" spans="1:2" ht="13.8" x14ac:dyDescent="0.25">
      <c r="A125" s="17">
        <v>4250</v>
      </c>
      <c r="B125" s="8">
        <v>63</v>
      </c>
    </row>
    <row r="126" spans="1:2" ht="13.8" x14ac:dyDescent="0.25">
      <c r="A126" s="17">
        <v>4266</v>
      </c>
      <c r="B126" s="8">
        <v>43</v>
      </c>
    </row>
    <row r="127" spans="1:2" ht="13.8" x14ac:dyDescent="0.25">
      <c r="A127" s="17">
        <v>4268</v>
      </c>
      <c r="B127" s="8">
        <v>89</v>
      </c>
    </row>
    <row r="128" spans="1:2" ht="13.8" x14ac:dyDescent="0.25">
      <c r="A128" s="17">
        <v>4277</v>
      </c>
      <c r="B128" s="8">
        <v>42</v>
      </c>
    </row>
    <row r="129" spans="1:2" ht="13.8" x14ac:dyDescent="0.25">
      <c r="A129" s="17">
        <v>4713</v>
      </c>
      <c r="B129" s="8">
        <v>48</v>
      </c>
    </row>
    <row r="130" spans="1:2" ht="13.8" x14ac:dyDescent="0.25">
      <c r="A130" s="17">
        <v>4823</v>
      </c>
      <c r="B130" s="8">
        <v>76</v>
      </c>
    </row>
    <row r="131" spans="1:2" ht="13.8" x14ac:dyDescent="0.25">
      <c r="A131" s="17">
        <v>4850</v>
      </c>
      <c r="B131" s="8">
        <v>50</v>
      </c>
    </row>
    <row r="132" spans="1:2" ht="13.8" x14ac:dyDescent="0.25">
      <c r="A132" s="17">
        <v>5002</v>
      </c>
      <c r="B132" s="8">
        <v>55</v>
      </c>
    </row>
    <row r="133" spans="1:2" ht="13.8" x14ac:dyDescent="0.25">
      <c r="A133" s="17">
        <v>5130</v>
      </c>
      <c r="B133" s="8">
        <v>79</v>
      </c>
    </row>
    <row r="134" spans="1:2" ht="13.8" x14ac:dyDescent="0.25">
      <c r="A134" s="17">
        <v>5137</v>
      </c>
      <c r="B134" s="8">
        <v>53</v>
      </c>
    </row>
    <row r="135" spans="1:2" ht="13.8" x14ac:dyDescent="0.25">
      <c r="A135" s="17">
        <v>5164</v>
      </c>
      <c r="B135" s="8">
        <v>92</v>
      </c>
    </row>
    <row r="136" spans="1:2" ht="13.8" x14ac:dyDescent="0.25">
      <c r="A136" s="17">
        <v>5166</v>
      </c>
      <c r="B136" s="8">
        <v>97</v>
      </c>
    </row>
    <row r="137" spans="1:2" ht="13.8" x14ac:dyDescent="0.25">
      <c r="A137" s="17">
        <v>5224</v>
      </c>
      <c r="B137" s="8">
        <v>75</v>
      </c>
    </row>
    <row r="138" spans="1:2" ht="13.8" x14ac:dyDescent="0.25">
      <c r="A138" s="17">
        <v>5225</v>
      </c>
      <c r="B138" s="8">
        <v>48</v>
      </c>
    </row>
    <row r="139" spans="1:2" ht="13.8" x14ac:dyDescent="0.25">
      <c r="A139" s="17">
        <v>5251</v>
      </c>
      <c r="B139" s="8">
        <v>50</v>
      </c>
    </row>
    <row r="140" spans="1:2" ht="13.8" x14ac:dyDescent="0.25">
      <c r="A140" s="17">
        <v>5264</v>
      </c>
      <c r="B140" s="8">
        <v>93</v>
      </c>
    </row>
    <row r="141" spans="1:2" ht="13.8" x14ac:dyDescent="0.25">
      <c r="A141" s="17">
        <v>5309</v>
      </c>
      <c r="B141" s="8">
        <v>82</v>
      </c>
    </row>
    <row r="142" spans="1:2" ht="13.8" x14ac:dyDescent="0.25">
      <c r="A142" s="17">
        <v>5508</v>
      </c>
      <c r="B142" s="8">
        <v>62</v>
      </c>
    </row>
    <row r="143" spans="1:2" ht="13.8" x14ac:dyDescent="0.25">
      <c r="A143" s="17">
        <v>5513</v>
      </c>
      <c r="B143" s="8">
        <v>65</v>
      </c>
    </row>
    <row r="144" spans="1:2" ht="13.8" x14ac:dyDescent="0.25">
      <c r="A144" s="17">
        <v>5534</v>
      </c>
      <c r="B144" s="8">
        <v>44</v>
      </c>
    </row>
    <row r="145" spans="1:2" ht="13.8" x14ac:dyDescent="0.25">
      <c r="A145" s="17">
        <v>5567</v>
      </c>
      <c r="B145" s="8">
        <v>56</v>
      </c>
    </row>
    <row r="146" spans="1:2" ht="13.8" x14ac:dyDescent="0.25">
      <c r="A146" s="17">
        <v>5622</v>
      </c>
      <c r="B146" s="8">
        <v>70</v>
      </c>
    </row>
    <row r="147" spans="1:2" ht="13.8" x14ac:dyDescent="0.25">
      <c r="A147" s="17">
        <v>5624</v>
      </c>
      <c r="B147" s="8">
        <v>51</v>
      </c>
    </row>
    <row r="148" spans="1:2" ht="13.8" x14ac:dyDescent="0.25">
      <c r="A148" s="17">
        <v>5773</v>
      </c>
      <c r="B148" s="8">
        <v>65</v>
      </c>
    </row>
    <row r="149" spans="1:2" ht="13.8" x14ac:dyDescent="0.25">
      <c r="A149" s="17">
        <v>5816</v>
      </c>
      <c r="B149" s="8">
        <v>43</v>
      </c>
    </row>
    <row r="150" spans="1:2" ht="13.8" x14ac:dyDescent="0.25">
      <c r="A150" s="17">
        <v>5917</v>
      </c>
      <c r="B150" s="8">
        <v>45</v>
      </c>
    </row>
    <row r="151" spans="1:2" ht="13.8" x14ac:dyDescent="0.25">
      <c r="A151" s="17">
        <v>5918</v>
      </c>
      <c r="B151" s="8">
        <v>86</v>
      </c>
    </row>
    <row r="152" spans="1:2" ht="13.8" x14ac:dyDescent="0.25">
      <c r="A152" s="17">
        <v>5922</v>
      </c>
      <c r="B152" s="8">
        <v>69</v>
      </c>
    </row>
    <row r="153" spans="1:2" ht="13.8" x14ac:dyDescent="0.25">
      <c r="A153" s="17">
        <v>6015</v>
      </c>
      <c r="B153" s="8">
        <v>56</v>
      </c>
    </row>
    <row r="154" spans="1:2" ht="13.8" x14ac:dyDescent="0.25">
      <c r="A154" s="17">
        <v>6129</v>
      </c>
      <c r="B154" s="8">
        <v>70</v>
      </c>
    </row>
    <row r="155" spans="1:2" ht="13.8" x14ac:dyDescent="0.25">
      <c r="A155" s="17">
        <v>6142</v>
      </c>
      <c r="B155" s="8">
        <v>93</v>
      </c>
    </row>
    <row r="156" spans="1:2" ht="13.8" x14ac:dyDescent="0.25">
      <c r="A156" s="17">
        <v>6207</v>
      </c>
      <c r="B156" s="8">
        <v>74</v>
      </c>
    </row>
    <row r="157" spans="1:2" ht="13.8" x14ac:dyDescent="0.25">
      <c r="A157" s="17">
        <v>6236</v>
      </c>
      <c r="B157" s="8">
        <v>89</v>
      </c>
    </row>
    <row r="158" spans="1:2" ht="13.8" x14ac:dyDescent="0.25">
      <c r="A158" s="17">
        <v>6341</v>
      </c>
      <c r="B158" s="8">
        <v>84</v>
      </c>
    </row>
    <row r="159" spans="1:2" ht="13.8" x14ac:dyDescent="0.25">
      <c r="A159" s="17">
        <v>6477</v>
      </c>
      <c r="B159" s="8">
        <v>46</v>
      </c>
    </row>
    <row r="160" spans="1:2" ht="13.8" x14ac:dyDescent="0.25">
      <c r="A160" s="17">
        <v>6621</v>
      </c>
      <c r="B160" s="8">
        <v>87</v>
      </c>
    </row>
    <row r="161" spans="1:2" ht="13.8" x14ac:dyDescent="0.25">
      <c r="A161" s="17">
        <v>6704</v>
      </c>
      <c r="B161" s="8">
        <v>94</v>
      </c>
    </row>
    <row r="162" spans="1:2" ht="13.8" x14ac:dyDescent="0.25">
      <c r="A162" s="17">
        <v>6754</v>
      </c>
      <c r="B162" s="8">
        <v>43</v>
      </c>
    </row>
    <row r="163" spans="1:2" ht="13.8" x14ac:dyDescent="0.25">
      <c r="A163" s="17">
        <v>6841</v>
      </c>
      <c r="B163" s="8">
        <v>98</v>
      </c>
    </row>
    <row r="164" spans="1:2" ht="13.8" x14ac:dyDescent="0.25">
      <c r="A164" s="17">
        <v>6874</v>
      </c>
      <c r="B164" s="8">
        <v>97</v>
      </c>
    </row>
    <row r="165" spans="1:2" ht="13.8" x14ac:dyDescent="0.25">
      <c r="A165" s="17">
        <v>6966</v>
      </c>
      <c r="B165" s="8">
        <v>55</v>
      </c>
    </row>
    <row r="166" spans="1:2" ht="13.8" x14ac:dyDescent="0.25">
      <c r="A166" s="17">
        <v>7020</v>
      </c>
      <c r="B166" s="8">
        <v>82</v>
      </c>
    </row>
    <row r="167" spans="1:2" ht="13.8" x14ac:dyDescent="0.25">
      <c r="A167" s="17">
        <v>7089</v>
      </c>
      <c r="B167" s="8">
        <v>79</v>
      </c>
    </row>
    <row r="168" spans="1:2" ht="13.8" x14ac:dyDescent="0.25">
      <c r="A168" s="17">
        <v>7160</v>
      </c>
      <c r="B168" s="8">
        <v>84</v>
      </c>
    </row>
    <row r="169" spans="1:2" ht="13.8" x14ac:dyDescent="0.25">
      <c r="A169" s="17">
        <v>7255</v>
      </c>
      <c r="B169" s="8">
        <v>45</v>
      </c>
    </row>
    <row r="170" spans="1:2" ht="13.8" x14ac:dyDescent="0.25">
      <c r="A170" s="17">
        <v>7320</v>
      </c>
      <c r="B170" s="8">
        <v>93</v>
      </c>
    </row>
    <row r="171" spans="1:2" ht="13.8" x14ac:dyDescent="0.25">
      <c r="A171" s="17">
        <v>7348</v>
      </c>
      <c r="B171" s="8">
        <v>52</v>
      </c>
    </row>
    <row r="172" spans="1:2" ht="13.8" x14ac:dyDescent="0.25">
      <c r="A172" s="17">
        <v>7384</v>
      </c>
      <c r="B172" s="8">
        <v>100</v>
      </c>
    </row>
    <row r="173" spans="1:2" ht="13.8" x14ac:dyDescent="0.25">
      <c r="A173" s="17">
        <v>7551</v>
      </c>
      <c r="B173" s="8">
        <v>50</v>
      </c>
    </row>
    <row r="174" spans="1:2" ht="13.8" x14ac:dyDescent="0.25">
      <c r="A174" s="17">
        <v>7574</v>
      </c>
      <c r="B174" s="8">
        <v>76</v>
      </c>
    </row>
    <row r="175" spans="1:2" ht="13.8" x14ac:dyDescent="0.25">
      <c r="A175" s="17">
        <v>7588</v>
      </c>
      <c r="B175" s="8">
        <v>73</v>
      </c>
    </row>
    <row r="176" spans="1:2" ht="13.8" x14ac:dyDescent="0.25">
      <c r="A176" s="17">
        <v>7624</v>
      </c>
      <c r="B176" s="8">
        <v>87</v>
      </c>
    </row>
    <row r="177" spans="1:2" ht="13.8" x14ac:dyDescent="0.25">
      <c r="A177" s="17">
        <v>7672</v>
      </c>
      <c r="B177" s="8">
        <v>100</v>
      </c>
    </row>
    <row r="178" spans="1:2" ht="13.8" x14ac:dyDescent="0.25">
      <c r="A178" s="17">
        <v>7685</v>
      </c>
      <c r="B178" s="8">
        <v>76</v>
      </c>
    </row>
    <row r="179" spans="1:2" ht="13.8" x14ac:dyDescent="0.25">
      <c r="A179" s="17">
        <v>7707</v>
      </c>
      <c r="B179" s="8">
        <v>67</v>
      </c>
    </row>
    <row r="180" spans="1:2" ht="13.8" x14ac:dyDescent="0.25">
      <c r="A180" s="17">
        <v>7745</v>
      </c>
      <c r="B180" s="8">
        <v>63</v>
      </c>
    </row>
    <row r="181" spans="1:2" ht="13.8" x14ac:dyDescent="0.25">
      <c r="A181" s="17">
        <v>7750</v>
      </c>
      <c r="B181" s="8">
        <v>73</v>
      </c>
    </row>
    <row r="182" spans="1:2" ht="13.8" x14ac:dyDescent="0.25">
      <c r="A182" s="17">
        <v>7768</v>
      </c>
      <c r="B182" s="8">
        <v>85</v>
      </c>
    </row>
    <row r="183" spans="1:2" ht="13.8" x14ac:dyDescent="0.25">
      <c r="A183" s="17">
        <v>7774</v>
      </c>
      <c r="B183" s="8">
        <v>99</v>
      </c>
    </row>
    <row r="184" spans="1:2" ht="13.8" x14ac:dyDescent="0.25">
      <c r="A184" s="17">
        <v>7798</v>
      </c>
      <c r="B184" s="8">
        <v>44</v>
      </c>
    </row>
    <row r="185" spans="1:2" ht="13.8" x14ac:dyDescent="0.25">
      <c r="A185" s="17">
        <v>7821</v>
      </c>
      <c r="B185" s="8">
        <v>45</v>
      </c>
    </row>
    <row r="186" spans="1:2" ht="13.8" x14ac:dyDescent="0.25">
      <c r="A186" s="17">
        <v>7874</v>
      </c>
      <c r="B186" s="8">
        <v>56</v>
      </c>
    </row>
    <row r="187" spans="1:2" ht="13.8" x14ac:dyDescent="0.25">
      <c r="A187" s="17">
        <v>7942</v>
      </c>
      <c r="B187" s="8">
        <v>52</v>
      </c>
    </row>
    <row r="188" spans="1:2" ht="13.8" x14ac:dyDescent="0.25">
      <c r="A188" s="17">
        <v>7992</v>
      </c>
      <c r="B188" s="8">
        <v>49</v>
      </c>
    </row>
    <row r="189" spans="1:2" ht="13.8" x14ac:dyDescent="0.25">
      <c r="A189" s="17">
        <v>8020</v>
      </c>
      <c r="B189" s="8">
        <v>56</v>
      </c>
    </row>
    <row r="190" spans="1:2" ht="13.8" x14ac:dyDescent="0.25">
      <c r="A190" s="17">
        <v>8086</v>
      </c>
      <c r="B190" s="8">
        <v>64</v>
      </c>
    </row>
    <row r="191" spans="1:2" ht="13.8" x14ac:dyDescent="0.25">
      <c r="A191" s="17">
        <v>8113</v>
      </c>
      <c r="B191" s="8">
        <v>99</v>
      </c>
    </row>
    <row r="192" spans="1:2" ht="13.8" x14ac:dyDescent="0.25">
      <c r="A192" s="17">
        <v>8180</v>
      </c>
      <c r="B192" s="8">
        <v>65</v>
      </c>
    </row>
    <row r="193" spans="1:2" ht="13.8" x14ac:dyDescent="0.25">
      <c r="A193" s="17">
        <v>8182</v>
      </c>
      <c r="B193" s="8">
        <v>66</v>
      </c>
    </row>
    <row r="194" spans="1:2" ht="13.8" x14ac:dyDescent="0.25">
      <c r="A194" s="17">
        <v>8212</v>
      </c>
      <c r="B194" s="8">
        <v>82</v>
      </c>
    </row>
    <row r="195" spans="1:2" ht="13.8" x14ac:dyDescent="0.25">
      <c r="A195" s="17">
        <v>8268</v>
      </c>
      <c r="B195" s="8">
        <v>96</v>
      </c>
    </row>
    <row r="196" spans="1:2" ht="13.8" x14ac:dyDescent="0.25">
      <c r="A196" s="17">
        <v>8338</v>
      </c>
      <c r="B196" s="8">
        <v>67</v>
      </c>
    </row>
    <row r="197" spans="1:2" ht="13.8" x14ac:dyDescent="0.25">
      <c r="A197" s="17">
        <v>8458</v>
      </c>
      <c r="B197" s="8">
        <v>83</v>
      </c>
    </row>
    <row r="198" spans="1:2" ht="13.8" x14ac:dyDescent="0.25">
      <c r="A198" s="17">
        <v>8490</v>
      </c>
      <c r="B198" s="8">
        <v>77</v>
      </c>
    </row>
    <row r="199" spans="1:2" ht="13.8" x14ac:dyDescent="0.25">
      <c r="A199" s="17">
        <v>8566</v>
      </c>
      <c r="B199" s="8">
        <v>55</v>
      </c>
    </row>
    <row r="200" spans="1:2" ht="13.8" x14ac:dyDescent="0.25">
      <c r="A200" s="17">
        <v>8576</v>
      </c>
      <c r="B200" s="8">
        <v>76</v>
      </c>
    </row>
    <row r="201" spans="1:2" ht="13.8" x14ac:dyDescent="0.25">
      <c r="A201" s="17">
        <v>8629</v>
      </c>
      <c r="B201" s="8">
        <v>73</v>
      </c>
    </row>
    <row r="202" spans="1:2" ht="13.8" x14ac:dyDescent="0.25">
      <c r="A202" s="17">
        <v>8654</v>
      </c>
      <c r="B202" s="8">
        <v>51</v>
      </c>
    </row>
    <row r="203" spans="1:2" ht="13.8" x14ac:dyDescent="0.25">
      <c r="A203" s="17">
        <v>8679</v>
      </c>
      <c r="B203" s="8">
        <v>85</v>
      </c>
    </row>
    <row r="204" spans="1:2" ht="13.8" x14ac:dyDescent="0.25">
      <c r="A204" s="17">
        <v>8732</v>
      </c>
      <c r="B204" s="8">
        <v>64</v>
      </c>
    </row>
    <row r="205" spans="1:2" ht="13.8" x14ac:dyDescent="0.25">
      <c r="A205" s="17">
        <v>8745</v>
      </c>
      <c r="B205" s="8">
        <v>94</v>
      </c>
    </row>
    <row r="206" spans="1:2" ht="13.8" x14ac:dyDescent="0.25">
      <c r="A206" s="17">
        <v>8752</v>
      </c>
      <c r="B206" s="8">
        <v>98</v>
      </c>
    </row>
    <row r="207" spans="1:2" ht="13.8" x14ac:dyDescent="0.25">
      <c r="A207" s="17">
        <v>8774</v>
      </c>
      <c r="B207" s="8">
        <v>72</v>
      </c>
    </row>
    <row r="208" spans="1:2" ht="13.8" x14ac:dyDescent="0.25">
      <c r="A208" s="17">
        <v>8867</v>
      </c>
      <c r="B208" s="8">
        <v>100</v>
      </c>
    </row>
    <row r="209" spans="1:2" ht="13.8" x14ac:dyDescent="0.25">
      <c r="A209" s="17">
        <v>8991</v>
      </c>
      <c r="B209" s="8">
        <v>89</v>
      </c>
    </row>
    <row r="210" spans="1:2" ht="13.8" x14ac:dyDescent="0.25">
      <c r="A210" s="17">
        <v>9014</v>
      </c>
      <c r="B210" s="8">
        <v>80</v>
      </c>
    </row>
    <row r="211" spans="1:2" ht="13.8" x14ac:dyDescent="0.25">
      <c r="A211" s="17">
        <v>9020</v>
      </c>
      <c r="B211" s="8">
        <v>80</v>
      </c>
    </row>
    <row r="212" spans="1:2" ht="13.8" x14ac:dyDescent="0.25">
      <c r="A212" s="17">
        <v>9134</v>
      </c>
      <c r="B212" s="8">
        <v>43</v>
      </c>
    </row>
    <row r="213" spans="1:2" ht="13.8" x14ac:dyDescent="0.25">
      <c r="A213" s="17">
        <v>9243</v>
      </c>
      <c r="B213" s="8">
        <v>51</v>
      </c>
    </row>
    <row r="214" spans="1:2" ht="13.8" x14ac:dyDescent="0.25">
      <c r="A214" s="17">
        <v>9247</v>
      </c>
      <c r="B214" s="8">
        <v>69</v>
      </c>
    </row>
    <row r="215" spans="1:2" ht="13.8" x14ac:dyDescent="0.25">
      <c r="A215" s="17">
        <v>9305</v>
      </c>
      <c r="B215" s="8">
        <v>52</v>
      </c>
    </row>
    <row r="216" spans="1:2" ht="13.8" x14ac:dyDescent="0.25">
      <c r="A216" s="17">
        <v>9310</v>
      </c>
      <c r="B216" s="8">
        <v>52</v>
      </c>
    </row>
    <row r="217" spans="1:2" ht="13.8" x14ac:dyDescent="0.25">
      <c r="A217" s="17">
        <v>9380</v>
      </c>
      <c r="B217" s="8">
        <v>96</v>
      </c>
    </row>
    <row r="218" spans="1:2" ht="13.8" x14ac:dyDescent="0.25">
      <c r="A218" s="17">
        <v>9399</v>
      </c>
      <c r="B218" s="8">
        <v>81</v>
      </c>
    </row>
    <row r="219" spans="1:2" ht="13.8" x14ac:dyDescent="0.25">
      <c r="A219" s="17">
        <v>9422</v>
      </c>
      <c r="B219" s="8">
        <v>70</v>
      </c>
    </row>
    <row r="220" spans="1:2" ht="13.8" x14ac:dyDescent="0.25">
      <c r="A220" s="17">
        <v>9459</v>
      </c>
      <c r="B220" s="8">
        <v>60</v>
      </c>
    </row>
    <row r="221" spans="1:2" ht="13.8" x14ac:dyDescent="0.25">
      <c r="A221" s="17">
        <v>9464</v>
      </c>
      <c r="B221" s="8">
        <v>67</v>
      </c>
    </row>
    <row r="222" spans="1:2" ht="13.8" x14ac:dyDescent="0.25">
      <c r="A222" s="17">
        <v>9488</v>
      </c>
      <c r="B222" s="8">
        <v>72</v>
      </c>
    </row>
    <row r="223" spans="1:2" ht="13.8" x14ac:dyDescent="0.25">
      <c r="A223" s="17">
        <v>9538</v>
      </c>
      <c r="B223" s="8">
        <v>56</v>
      </c>
    </row>
    <row r="224" spans="1:2" ht="13.8" x14ac:dyDescent="0.25">
      <c r="A224" s="17">
        <v>9611</v>
      </c>
      <c r="B224" s="8">
        <v>70</v>
      </c>
    </row>
    <row r="225" spans="1:2" ht="13.8" x14ac:dyDescent="0.25">
      <c r="A225" s="17">
        <v>9625</v>
      </c>
      <c r="B225" s="8">
        <v>79</v>
      </c>
    </row>
    <row r="226" spans="1:2" ht="13.8" x14ac:dyDescent="0.25">
      <c r="A226" s="17">
        <v>9701</v>
      </c>
      <c r="B226" s="8">
        <v>74.5</v>
      </c>
    </row>
    <row r="227" spans="1:2" ht="13.8" x14ac:dyDescent="0.25">
      <c r="A227" s="17">
        <v>9722</v>
      </c>
      <c r="B227" s="8">
        <v>68</v>
      </c>
    </row>
    <row r="228" spans="1:2" ht="13.8" x14ac:dyDescent="0.25">
      <c r="A228" s="17">
        <v>9738</v>
      </c>
      <c r="B228" s="8">
        <v>92</v>
      </c>
    </row>
    <row r="229" spans="1:2" ht="13.8" x14ac:dyDescent="0.25">
      <c r="A229" s="17">
        <v>9773</v>
      </c>
      <c r="B229" s="8">
        <v>86</v>
      </c>
    </row>
    <row r="230" spans="1:2" ht="13.8" x14ac:dyDescent="0.25">
      <c r="A230" s="17">
        <v>9842</v>
      </c>
      <c r="B230" s="8">
        <v>54</v>
      </c>
    </row>
    <row r="231" spans="1:2" ht="13.8" x14ac:dyDescent="0.25">
      <c r="A231" s="17">
        <v>9918</v>
      </c>
      <c r="B231" s="8">
        <v>85</v>
      </c>
    </row>
    <row r="232" spans="1:2" ht="13.8" x14ac:dyDescent="0.25">
      <c r="A232" s="17">
        <v>9951</v>
      </c>
      <c r="B232" s="8">
        <v>50</v>
      </c>
    </row>
    <row r="233" spans="1:2" ht="13.8" x14ac:dyDescent="0.25">
      <c r="A233" s="17">
        <v>9985</v>
      </c>
      <c r="B233" s="8">
        <v>50</v>
      </c>
    </row>
    <row r="234" spans="1:2" ht="13.8" x14ac:dyDescent="0.25">
      <c r="A234" s="17">
        <v>9991</v>
      </c>
      <c r="B234" s="8">
        <v>56</v>
      </c>
    </row>
    <row r="235" spans="1:2" ht="13.8" x14ac:dyDescent="0.25">
      <c r="A235" s="17">
        <v>10060</v>
      </c>
      <c r="B235" s="8">
        <v>68</v>
      </c>
    </row>
    <row r="236" spans="1:2" ht="13.8" x14ac:dyDescent="0.25">
      <c r="A236" s="17">
        <v>10064</v>
      </c>
      <c r="B236" s="8">
        <v>75</v>
      </c>
    </row>
    <row r="237" spans="1:2" ht="13.8" x14ac:dyDescent="0.25">
      <c r="A237" s="17">
        <v>10168</v>
      </c>
      <c r="B237" s="8">
        <v>49</v>
      </c>
    </row>
    <row r="238" spans="1:2" ht="13.8" x14ac:dyDescent="0.25">
      <c r="A238" s="17">
        <v>10208</v>
      </c>
      <c r="B238" s="8">
        <v>69</v>
      </c>
    </row>
    <row r="239" spans="1:2" ht="13.8" x14ac:dyDescent="0.25">
      <c r="A239" s="17">
        <v>10224</v>
      </c>
      <c r="B239" s="8">
        <v>61</v>
      </c>
    </row>
    <row r="240" spans="1:2" ht="13.8" x14ac:dyDescent="0.25">
      <c r="A240" s="17">
        <v>10240</v>
      </c>
      <c r="B240" s="8">
        <v>98</v>
      </c>
    </row>
    <row r="241" spans="1:2" ht="13.8" x14ac:dyDescent="0.25">
      <c r="A241" s="17">
        <v>10288</v>
      </c>
      <c r="B241" s="8">
        <v>71</v>
      </c>
    </row>
    <row r="242" spans="1:2" ht="13.8" x14ac:dyDescent="0.25">
      <c r="A242" s="17">
        <v>10307</v>
      </c>
      <c r="B242" s="8">
        <v>74</v>
      </c>
    </row>
    <row r="243" spans="1:2" ht="13.8" x14ac:dyDescent="0.25">
      <c r="A243" s="17">
        <v>10326</v>
      </c>
      <c r="B243" s="8">
        <v>43</v>
      </c>
    </row>
    <row r="244" spans="1:2" ht="13.8" x14ac:dyDescent="0.25">
      <c r="A244" s="17">
        <v>10378</v>
      </c>
      <c r="B244" s="8">
        <v>95</v>
      </c>
    </row>
    <row r="245" spans="1:2" ht="13.8" x14ac:dyDescent="0.25">
      <c r="A245" s="17">
        <v>10470</v>
      </c>
      <c r="B245" s="8">
        <v>64</v>
      </c>
    </row>
    <row r="246" spans="1:2" ht="13.8" x14ac:dyDescent="0.25">
      <c r="A246" s="17">
        <v>10682</v>
      </c>
      <c r="B246" s="8">
        <v>46</v>
      </c>
    </row>
    <row r="247" spans="1:2" ht="13.8" x14ac:dyDescent="0.25">
      <c r="A247" s="17">
        <v>10707</v>
      </c>
      <c r="B247" s="8">
        <v>54</v>
      </c>
    </row>
    <row r="248" spans="1:2" ht="13.8" x14ac:dyDescent="0.25">
      <c r="A248" s="17">
        <v>10720</v>
      </c>
      <c r="B248" s="8">
        <v>94</v>
      </c>
    </row>
    <row r="249" spans="1:2" ht="13.8" x14ac:dyDescent="0.25">
      <c r="A249" s="17">
        <v>10872</v>
      </c>
      <c r="B249" s="8">
        <v>91</v>
      </c>
    </row>
    <row r="250" spans="1:2" ht="13.8" x14ac:dyDescent="0.25">
      <c r="A250" s="17">
        <v>10934</v>
      </c>
      <c r="B250" s="8">
        <v>45</v>
      </c>
    </row>
    <row r="251" spans="1:2" ht="13.8" x14ac:dyDescent="0.25">
      <c r="A251" s="17">
        <v>10992</v>
      </c>
      <c r="B251" s="8">
        <v>48</v>
      </c>
    </row>
    <row r="252" spans="1:2" ht="13.8" x14ac:dyDescent="0.25">
      <c r="A252" s="17">
        <v>10993</v>
      </c>
      <c r="B252" s="8">
        <v>71</v>
      </c>
    </row>
    <row r="253" spans="1:2" ht="13.8" x14ac:dyDescent="0.25">
      <c r="A253" s="17">
        <v>11050</v>
      </c>
      <c r="B253" s="8">
        <v>75</v>
      </c>
    </row>
    <row r="254" spans="1:2" ht="13.8" x14ac:dyDescent="0.25">
      <c r="A254" s="17">
        <v>11052</v>
      </c>
      <c r="B254" s="8">
        <v>84</v>
      </c>
    </row>
    <row r="255" spans="1:2" ht="13.8" x14ac:dyDescent="0.25">
      <c r="A255" s="17">
        <v>11125</v>
      </c>
      <c r="B255" s="8">
        <v>84</v>
      </c>
    </row>
    <row r="256" spans="1:2" ht="13.8" x14ac:dyDescent="0.25">
      <c r="A256" s="17">
        <v>11138</v>
      </c>
      <c r="B256" s="8">
        <v>63</v>
      </c>
    </row>
    <row r="257" spans="1:2" ht="13.8" x14ac:dyDescent="0.25">
      <c r="A257" s="17">
        <v>11169</v>
      </c>
      <c r="B257" s="8">
        <v>93</v>
      </c>
    </row>
    <row r="258" spans="1:2" ht="13.8" x14ac:dyDescent="0.25">
      <c r="A258" s="17">
        <v>11182</v>
      </c>
      <c r="B258" s="8">
        <v>54</v>
      </c>
    </row>
    <row r="259" spans="1:2" ht="13.8" x14ac:dyDescent="0.25">
      <c r="A259" s="17">
        <v>11201</v>
      </c>
      <c r="B259" s="8">
        <v>73</v>
      </c>
    </row>
    <row r="260" spans="1:2" ht="13.8" x14ac:dyDescent="0.25">
      <c r="A260" s="17">
        <v>11253</v>
      </c>
      <c r="B260" s="8">
        <v>88</v>
      </c>
    </row>
    <row r="261" spans="1:2" ht="13.8" x14ac:dyDescent="0.25">
      <c r="A261" s="17">
        <v>11310</v>
      </c>
      <c r="B261" s="8">
        <v>87</v>
      </c>
    </row>
    <row r="262" spans="1:2" ht="13.8" x14ac:dyDescent="0.25">
      <c r="A262" s="17">
        <v>11316</v>
      </c>
      <c r="B262" s="8">
        <v>49</v>
      </c>
    </row>
    <row r="263" spans="1:2" ht="13.8" x14ac:dyDescent="0.25">
      <c r="A263" s="17">
        <v>11324</v>
      </c>
      <c r="B263" s="8">
        <v>84</v>
      </c>
    </row>
    <row r="264" spans="1:2" ht="13.8" x14ac:dyDescent="0.25">
      <c r="A264" s="17">
        <v>11371</v>
      </c>
      <c r="B264" s="8">
        <v>77</v>
      </c>
    </row>
    <row r="265" spans="1:2" ht="13.8" x14ac:dyDescent="0.25">
      <c r="A265" s="17">
        <v>11405</v>
      </c>
      <c r="B265" s="8">
        <v>98</v>
      </c>
    </row>
    <row r="266" spans="1:2" ht="13.8" x14ac:dyDescent="0.25">
      <c r="A266" s="17">
        <v>11461</v>
      </c>
      <c r="B266" s="8">
        <v>59</v>
      </c>
    </row>
    <row r="267" spans="1:2" ht="13.8" x14ac:dyDescent="0.25">
      <c r="A267" s="17">
        <v>11512</v>
      </c>
      <c r="B267" s="8">
        <v>64</v>
      </c>
    </row>
    <row r="268" spans="1:2" ht="13.8" x14ac:dyDescent="0.25">
      <c r="A268" s="17">
        <v>11588</v>
      </c>
      <c r="B268" s="8">
        <v>65</v>
      </c>
    </row>
    <row r="269" spans="1:2" ht="13.8" x14ac:dyDescent="0.25">
      <c r="A269" s="17">
        <v>11589</v>
      </c>
      <c r="B269" s="8">
        <v>87</v>
      </c>
    </row>
    <row r="270" spans="1:2" ht="13.8" x14ac:dyDescent="0.25">
      <c r="A270" s="17">
        <v>11727</v>
      </c>
      <c r="B270" s="8">
        <v>97</v>
      </c>
    </row>
    <row r="271" spans="1:2" ht="13.8" x14ac:dyDescent="0.25">
      <c r="A271" s="17">
        <v>11837</v>
      </c>
      <c r="B271" s="8">
        <v>74</v>
      </c>
    </row>
    <row r="272" spans="1:2" ht="13.8" x14ac:dyDescent="0.25">
      <c r="A272" s="17">
        <v>11844</v>
      </c>
      <c r="B272" s="8">
        <v>55</v>
      </c>
    </row>
    <row r="273" spans="1:2" ht="13.8" x14ac:dyDescent="0.25">
      <c r="A273" s="17">
        <v>11893</v>
      </c>
      <c r="B273" s="8">
        <v>46</v>
      </c>
    </row>
    <row r="274" spans="1:2" ht="13.8" x14ac:dyDescent="0.25">
      <c r="A274" s="17">
        <v>11899</v>
      </c>
      <c r="B274" s="8">
        <v>55</v>
      </c>
    </row>
    <row r="275" spans="1:2" ht="13.8" x14ac:dyDescent="0.25">
      <c r="A275" s="17">
        <v>11972</v>
      </c>
      <c r="B275" s="8">
        <v>54</v>
      </c>
    </row>
    <row r="276" spans="1:2" ht="13.8" x14ac:dyDescent="0.25">
      <c r="A276" s="17">
        <v>12006</v>
      </c>
      <c r="B276" s="8">
        <v>45</v>
      </c>
    </row>
    <row r="277" spans="1:2" ht="13.8" x14ac:dyDescent="0.25">
      <c r="A277" s="17">
        <v>12015</v>
      </c>
      <c r="B277" s="8">
        <v>87</v>
      </c>
    </row>
    <row r="278" spans="1:2" ht="13.8" x14ac:dyDescent="0.25">
      <c r="A278" s="17">
        <v>12033</v>
      </c>
      <c r="B278" s="8">
        <v>53</v>
      </c>
    </row>
    <row r="279" spans="1:2" ht="13.8" x14ac:dyDescent="0.25">
      <c r="A279" s="17">
        <v>12079</v>
      </c>
      <c r="B279" s="8">
        <v>100</v>
      </c>
    </row>
    <row r="280" spans="1:2" ht="13.8" x14ac:dyDescent="0.25">
      <c r="A280" s="17">
        <v>12225</v>
      </c>
      <c r="B280" s="8">
        <v>86</v>
      </c>
    </row>
    <row r="281" spans="1:2" ht="13.8" x14ac:dyDescent="0.25">
      <c r="A281" s="17">
        <v>12248</v>
      </c>
      <c r="B281" s="8">
        <v>73</v>
      </c>
    </row>
    <row r="282" spans="1:2" ht="13.8" x14ac:dyDescent="0.25">
      <c r="A282" s="17">
        <v>12278</v>
      </c>
      <c r="B282" s="8">
        <v>88</v>
      </c>
    </row>
    <row r="283" spans="1:2" ht="13.8" x14ac:dyDescent="0.25">
      <c r="A283" s="17">
        <v>12310</v>
      </c>
      <c r="B283" s="8">
        <v>94</v>
      </c>
    </row>
    <row r="284" spans="1:2" ht="13.8" x14ac:dyDescent="0.25">
      <c r="A284" s="17">
        <v>12344</v>
      </c>
      <c r="B284" s="8">
        <v>52</v>
      </c>
    </row>
    <row r="285" spans="1:2" ht="13.8" x14ac:dyDescent="0.25">
      <c r="A285" s="17">
        <v>12457</v>
      </c>
      <c r="B285" s="8">
        <v>96</v>
      </c>
    </row>
    <row r="286" spans="1:2" ht="13.8" x14ac:dyDescent="0.25">
      <c r="A286" s="17">
        <v>12475</v>
      </c>
      <c r="B286" s="8">
        <v>93</v>
      </c>
    </row>
    <row r="287" spans="1:2" ht="13.8" x14ac:dyDescent="0.25">
      <c r="A287" s="17">
        <v>12506</v>
      </c>
      <c r="B287" s="8">
        <v>82</v>
      </c>
    </row>
    <row r="288" spans="1:2" ht="13.8" x14ac:dyDescent="0.25">
      <c r="A288" s="17">
        <v>12553</v>
      </c>
      <c r="B288" s="8">
        <v>62</v>
      </c>
    </row>
    <row r="289" spans="1:2" ht="13.8" x14ac:dyDescent="0.25">
      <c r="A289" s="17">
        <v>12601</v>
      </c>
      <c r="B289" s="8">
        <v>98</v>
      </c>
    </row>
    <row r="290" spans="1:2" ht="13.8" x14ac:dyDescent="0.25">
      <c r="A290" s="17">
        <v>12607</v>
      </c>
      <c r="B290" s="8">
        <v>82</v>
      </c>
    </row>
    <row r="291" spans="1:2" ht="13.8" x14ac:dyDescent="0.25">
      <c r="A291" s="17">
        <v>12629</v>
      </c>
      <c r="B291" s="8">
        <v>69</v>
      </c>
    </row>
    <row r="292" spans="1:2" ht="13.8" x14ac:dyDescent="0.25">
      <c r="A292" s="17">
        <v>12635</v>
      </c>
      <c r="B292" s="8">
        <v>51</v>
      </c>
    </row>
    <row r="293" spans="1:2" ht="13.8" x14ac:dyDescent="0.25">
      <c r="A293" s="17">
        <v>12637</v>
      </c>
      <c r="B293" s="8">
        <v>93</v>
      </c>
    </row>
    <row r="294" spans="1:2" ht="13.8" x14ac:dyDescent="0.25">
      <c r="A294" s="17">
        <v>12718</v>
      </c>
      <c r="B294" s="8">
        <v>59</v>
      </c>
    </row>
    <row r="295" spans="1:2" ht="13.8" x14ac:dyDescent="0.25">
      <c r="A295" s="17">
        <v>12734</v>
      </c>
      <c r="B295" s="8">
        <v>64</v>
      </c>
    </row>
    <row r="296" spans="1:2" ht="13.8" x14ac:dyDescent="0.25">
      <c r="A296" s="17">
        <v>12793</v>
      </c>
      <c r="B296" s="8">
        <v>54</v>
      </c>
    </row>
    <row r="297" spans="1:2" ht="13.8" x14ac:dyDescent="0.25">
      <c r="A297" s="17">
        <v>12829</v>
      </c>
      <c r="B297" s="8">
        <v>42</v>
      </c>
    </row>
    <row r="298" spans="1:2" ht="13.8" x14ac:dyDescent="0.25">
      <c r="A298" s="17">
        <v>12900</v>
      </c>
      <c r="B298" s="8">
        <v>46</v>
      </c>
    </row>
    <row r="299" spans="1:2" ht="13.8" x14ac:dyDescent="0.25">
      <c r="A299" s="17">
        <v>13011</v>
      </c>
      <c r="B299" s="8">
        <v>56</v>
      </c>
    </row>
    <row r="300" spans="1:2" ht="13.8" x14ac:dyDescent="0.25">
      <c r="A300" s="17">
        <v>13027</v>
      </c>
      <c r="B300" s="8">
        <v>80</v>
      </c>
    </row>
    <row r="301" spans="1:2" ht="13.8" x14ac:dyDescent="0.25">
      <c r="A301" s="17">
        <v>13118</v>
      </c>
      <c r="B301" s="8">
        <v>45</v>
      </c>
    </row>
    <row r="302" spans="1:2" ht="13.8" x14ac:dyDescent="0.25">
      <c r="A302" s="17">
        <v>13127</v>
      </c>
      <c r="B302" s="8">
        <v>92</v>
      </c>
    </row>
    <row r="303" spans="1:2" ht="13.8" x14ac:dyDescent="0.25">
      <c r="A303" s="17">
        <v>13220</v>
      </c>
      <c r="B303" s="8">
        <v>97</v>
      </c>
    </row>
    <row r="304" spans="1:2" ht="13.8" x14ac:dyDescent="0.25">
      <c r="A304" s="17">
        <v>13364</v>
      </c>
      <c r="B304" s="8">
        <v>79</v>
      </c>
    </row>
    <row r="305" spans="1:2" ht="13.8" x14ac:dyDescent="0.25">
      <c r="A305" s="17">
        <v>13419</v>
      </c>
      <c r="B305" s="8">
        <v>81</v>
      </c>
    </row>
    <row r="306" spans="1:2" ht="13.8" x14ac:dyDescent="0.25">
      <c r="A306" s="17">
        <v>13428</v>
      </c>
      <c r="B306" s="8">
        <v>96</v>
      </c>
    </row>
    <row r="307" spans="1:2" ht="13.8" x14ac:dyDescent="0.25">
      <c r="A307" s="17">
        <v>13457</v>
      </c>
      <c r="B307" s="8">
        <v>73</v>
      </c>
    </row>
    <row r="308" spans="1:2" ht="13.8" x14ac:dyDescent="0.25">
      <c r="A308" s="17">
        <v>13509</v>
      </c>
      <c r="B308" s="8">
        <v>74</v>
      </c>
    </row>
    <row r="309" spans="1:2" ht="13.8" x14ac:dyDescent="0.25">
      <c r="A309" s="17">
        <v>13555</v>
      </c>
      <c r="B309" s="8">
        <v>57</v>
      </c>
    </row>
    <row r="310" spans="1:2" ht="13.8" x14ac:dyDescent="0.25">
      <c r="A310" s="17">
        <v>13581</v>
      </c>
      <c r="B310" s="8">
        <v>52</v>
      </c>
    </row>
    <row r="311" spans="1:2" ht="13.8" x14ac:dyDescent="0.25">
      <c r="A311" s="17">
        <v>13642</v>
      </c>
      <c r="B311" s="8">
        <v>50</v>
      </c>
    </row>
    <row r="312" spans="1:2" ht="13.8" x14ac:dyDescent="0.25">
      <c r="A312" s="17">
        <v>13726</v>
      </c>
      <c r="B312" s="8">
        <v>54</v>
      </c>
    </row>
    <row r="313" spans="1:2" ht="13.8" x14ac:dyDescent="0.25">
      <c r="A313" s="17">
        <v>13762</v>
      </c>
      <c r="B313" s="8">
        <v>98</v>
      </c>
    </row>
    <row r="314" spans="1:2" ht="13.8" x14ac:dyDescent="0.25">
      <c r="A314" s="17">
        <v>13781</v>
      </c>
      <c r="B314" s="8">
        <v>66</v>
      </c>
    </row>
    <row r="315" spans="1:2" ht="13.8" x14ac:dyDescent="0.25">
      <c r="A315" s="17">
        <v>13795</v>
      </c>
      <c r="B315" s="8">
        <v>93</v>
      </c>
    </row>
    <row r="316" spans="1:2" ht="13.8" x14ac:dyDescent="0.25">
      <c r="A316" s="17">
        <v>13796</v>
      </c>
      <c r="B316" s="8">
        <v>79</v>
      </c>
    </row>
    <row r="317" spans="1:2" ht="13.8" x14ac:dyDescent="0.25">
      <c r="A317" s="17">
        <v>13890</v>
      </c>
      <c r="B317" s="8">
        <v>95</v>
      </c>
    </row>
    <row r="318" spans="1:2" ht="13.8" x14ac:dyDescent="0.25">
      <c r="A318" s="17">
        <v>13935</v>
      </c>
      <c r="B318" s="8">
        <v>64</v>
      </c>
    </row>
    <row r="319" spans="1:2" ht="13.8" x14ac:dyDescent="0.25">
      <c r="A319" s="17">
        <v>13996</v>
      </c>
      <c r="B319" s="8">
        <v>69</v>
      </c>
    </row>
    <row r="320" spans="1:2" ht="13.8" x14ac:dyDescent="0.25">
      <c r="A320" s="17">
        <v>14022</v>
      </c>
      <c r="B320" s="8">
        <v>100</v>
      </c>
    </row>
    <row r="321" spans="1:2" ht="13.8" x14ac:dyDescent="0.25">
      <c r="A321" s="17">
        <v>14044</v>
      </c>
      <c r="B321" s="8">
        <v>92</v>
      </c>
    </row>
    <row r="322" spans="1:2" ht="13.8" x14ac:dyDescent="0.25">
      <c r="A322" s="17">
        <v>14157</v>
      </c>
      <c r="B322" s="8">
        <v>58</v>
      </c>
    </row>
    <row r="323" spans="1:2" ht="13.8" x14ac:dyDescent="0.25">
      <c r="A323" s="17">
        <v>14172</v>
      </c>
      <c r="B323" s="8">
        <v>67</v>
      </c>
    </row>
    <row r="324" spans="1:2" ht="13.8" x14ac:dyDescent="0.25">
      <c r="A324" s="17">
        <v>14261</v>
      </c>
      <c r="B324" s="8">
        <v>72</v>
      </c>
    </row>
    <row r="325" spans="1:2" ht="13.8" x14ac:dyDescent="0.25">
      <c r="A325" s="17">
        <v>14377</v>
      </c>
      <c r="B325" s="8">
        <v>85</v>
      </c>
    </row>
    <row r="326" spans="1:2" ht="13.8" x14ac:dyDescent="0.25">
      <c r="A326" s="17">
        <v>14434</v>
      </c>
      <c r="B326" s="8">
        <v>42</v>
      </c>
    </row>
    <row r="327" spans="1:2" ht="13.8" x14ac:dyDescent="0.25">
      <c r="A327" s="17">
        <v>14483</v>
      </c>
      <c r="B327" s="8">
        <v>64</v>
      </c>
    </row>
    <row r="328" spans="1:2" ht="13.8" x14ac:dyDescent="0.25">
      <c r="A328" s="17">
        <v>14493</v>
      </c>
      <c r="B328" s="8">
        <v>95</v>
      </c>
    </row>
    <row r="329" spans="1:2" ht="13.8" x14ac:dyDescent="0.25">
      <c r="A329" s="17">
        <v>14497</v>
      </c>
      <c r="B329" s="8">
        <v>69</v>
      </c>
    </row>
    <row r="330" spans="1:2" ht="13.8" x14ac:dyDescent="0.25">
      <c r="A330" s="17">
        <v>14515</v>
      </c>
      <c r="B330" s="8">
        <v>73</v>
      </c>
    </row>
    <row r="331" spans="1:2" ht="13.8" x14ac:dyDescent="0.25">
      <c r="A331" s="17">
        <v>14520</v>
      </c>
      <c r="B331" s="8">
        <v>75</v>
      </c>
    </row>
    <row r="332" spans="1:2" ht="13.8" x14ac:dyDescent="0.25">
      <c r="A332" s="17">
        <v>14724</v>
      </c>
      <c r="B332" s="8">
        <v>41</v>
      </c>
    </row>
    <row r="333" spans="1:2" ht="13.8" x14ac:dyDescent="0.25">
      <c r="A333" s="17">
        <v>14801</v>
      </c>
      <c r="B333" s="8">
        <v>88</v>
      </c>
    </row>
    <row r="334" spans="1:2" ht="13.8" x14ac:dyDescent="0.25">
      <c r="A334" s="17">
        <v>14891</v>
      </c>
      <c r="B334" s="8">
        <v>73</v>
      </c>
    </row>
    <row r="335" spans="1:2" ht="13.8" x14ac:dyDescent="0.25">
      <c r="A335" s="17">
        <v>14910</v>
      </c>
      <c r="B335" s="8">
        <v>84</v>
      </c>
    </row>
    <row r="336" spans="1:2" ht="13.8" x14ac:dyDescent="0.25">
      <c r="A336" s="17">
        <v>14919</v>
      </c>
      <c r="B336" s="8">
        <v>82</v>
      </c>
    </row>
    <row r="337" spans="1:2" ht="13.8" x14ac:dyDescent="0.25">
      <c r="A337" s="17">
        <v>14935</v>
      </c>
      <c r="B337" s="8">
        <v>76</v>
      </c>
    </row>
    <row r="338" spans="1:2" ht="13.8" x14ac:dyDescent="0.25">
      <c r="A338" s="17">
        <v>14967</v>
      </c>
      <c r="B338" s="8">
        <v>45</v>
      </c>
    </row>
    <row r="339" spans="1:2" ht="13.8" x14ac:dyDescent="0.25">
      <c r="A339" s="17">
        <v>15003</v>
      </c>
      <c r="B339" s="8">
        <v>98</v>
      </c>
    </row>
    <row r="340" spans="1:2" ht="13.8" x14ac:dyDescent="0.25">
      <c r="A340" s="17">
        <v>15034</v>
      </c>
      <c r="B340" s="8">
        <v>72</v>
      </c>
    </row>
    <row r="341" spans="1:2" ht="13.8" x14ac:dyDescent="0.25">
      <c r="A341" s="17">
        <v>15054</v>
      </c>
      <c r="B341" s="8">
        <v>87</v>
      </c>
    </row>
    <row r="342" spans="1:2" ht="13.8" x14ac:dyDescent="0.25">
      <c r="A342" s="17">
        <v>15058</v>
      </c>
      <c r="B342" s="8">
        <v>83</v>
      </c>
    </row>
    <row r="343" spans="1:2" ht="13.8" x14ac:dyDescent="0.25">
      <c r="A343" s="17">
        <v>15067</v>
      </c>
      <c r="B343" s="8">
        <v>71</v>
      </c>
    </row>
    <row r="344" spans="1:2" ht="13.8" x14ac:dyDescent="0.25">
      <c r="A344" s="17">
        <v>15083</v>
      </c>
      <c r="B344" s="8">
        <v>49</v>
      </c>
    </row>
    <row r="345" spans="1:2" ht="13.8" x14ac:dyDescent="0.25">
      <c r="A345" s="17">
        <v>15150</v>
      </c>
      <c r="B345" s="8">
        <v>71</v>
      </c>
    </row>
    <row r="346" spans="1:2" ht="13.8" x14ac:dyDescent="0.25">
      <c r="A346" s="17">
        <v>15260</v>
      </c>
      <c r="B346" s="8">
        <v>75</v>
      </c>
    </row>
    <row r="347" spans="1:2" ht="13.8" x14ac:dyDescent="0.25">
      <c r="A347" s="17">
        <v>15407</v>
      </c>
      <c r="B347" s="8">
        <v>60</v>
      </c>
    </row>
    <row r="348" spans="1:2" ht="13.8" x14ac:dyDescent="0.25">
      <c r="A348" s="17">
        <v>15440</v>
      </c>
      <c r="B348" s="8">
        <v>52</v>
      </c>
    </row>
    <row r="349" spans="1:2" ht="13.8" x14ac:dyDescent="0.25">
      <c r="A349" s="17">
        <v>15444</v>
      </c>
      <c r="B349" s="8">
        <v>54</v>
      </c>
    </row>
    <row r="350" spans="1:2" ht="13.8" x14ac:dyDescent="0.25">
      <c r="A350" s="17">
        <v>15502</v>
      </c>
      <c r="B350" s="8">
        <v>46</v>
      </c>
    </row>
    <row r="351" spans="1:2" ht="13.8" x14ac:dyDescent="0.25">
      <c r="A351" s="17">
        <v>15520</v>
      </c>
      <c r="B351" s="8">
        <v>68</v>
      </c>
    </row>
    <row r="352" spans="1:2" ht="13.8" x14ac:dyDescent="0.25">
      <c r="A352" s="17">
        <v>15527</v>
      </c>
      <c r="B352" s="8">
        <v>97</v>
      </c>
    </row>
    <row r="353" spans="1:2" ht="13.8" x14ac:dyDescent="0.25">
      <c r="A353" s="17">
        <v>15645</v>
      </c>
      <c r="B353" s="8">
        <v>55</v>
      </c>
    </row>
    <row r="354" spans="1:2" ht="13.8" x14ac:dyDescent="0.25">
      <c r="A354" s="17">
        <v>15698</v>
      </c>
      <c r="B354" s="8">
        <v>60</v>
      </c>
    </row>
    <row r="355" spans="1:2" ht="13.8" x14ac:dyDescent="0.25">
      <c r="A355" s="17">
        <v>15712</v>
      </c>
      <c r="B355" s="8">
        <v>85</v>
      </c>
    </row>
    <row r="356" spans="1:2" ht="13.8" x14ac:dyDescent="0.25">
      <c r="A356" s="17">
        <v>15763</v>
      </c>
      <c r="B356" s="8">
        <v>71</v>
      </c>
    </row>
    <row r="357" spans="1:2" ht="13.8" x14ac:dyDescent="0.25">
      <c r="A357" s="17">
        <v>15775</v>
      </c>
      <c r="B357" s="8">
        <v>64</v>
      </c>
    </row>
    <row r="358" spans="1:2" ht="13.8" x14ac:dyDescent="0.25">
      <c r="A358" s="17">
        <v>15779</v>
      </c>
      <c r="B358" s="8">
        <v>51</v>
      </c>
    </row>
    <row r="359" spans="1:2" ht="13.8" x14ac:dyDescent="0.25">
      <c r="A359" s="17">
        <v>15801</v>
      </c>
      <c r="B359" s="8">
        <v>85</v>
      </c>
    </row>
    <row r="360" spans="1:2" ht="13.8" x14ac:dyDescent="0.25">
      <c r="A360" s="17">
        <v>15826</v>
      </c>
      <c r="B360" s="8">
        <v>76</v>
      </c>
    </row>
    <row r="361" spans="1:2" ht="13.8" x14ac:dyDescent="0.25">
      <c r="A361" s="17">
        <v>15881</v>
      </c>
      <c r="B361" s="8">
        <v>42</v>
      </c>
    </row>
    <row r="362" spans="1:2" ht="13.8" x14ac:dyDescent="0.25">
      <c r="A362" s="17">
        <v>15901</v>
      </c>
      <c r="B362" s="8">
        <v>72</v>
      </c>
    </row>
    <row r="363" spans="1:2" ht="13.8" x14ac:dyDescent="0.25">
      <c r="A363" s="17">
        <v>15994</v>
      </c>
      <c r="B363" s="8">
        <v>58</v>
      </c>
    </row>
    <row r="364" spans="1:2" ht="13.8" x14ac:dyDescent="0.25">
      <c r="A364" s="17">
        <v>16040</v>
      </c>
      <c r="B364" s="8">
        <v>84</v>
      </c>
    </row>
    <row r="365" spans="1:2" ht="13.8" x14ac:dyDescent="0.25">
      <c r="A365" s="17">
        <v>16098</v>
      </c>
      <c r="B365" s="8">
        <v>58</v>
      </c>
    </row>
    <row r="366" spans="1:2" ht="13.8" x14ac:dyDescent="0.25">
      <c r="A366" s="17">
        <v>16140</v>
      </c>
      <c r="B366" s="8">
        <v>47</v>
      </c>
    </row>
    <row r="367" spans="1:2" ht="13.8" x14ac:dyDescent="0.25">
      <c r="A367" s="17">
        <v>16158</v>
      </c>
      <c r="B367" s="8">
        <v>100</v>
      </c>
    </row>
    <row r="368" spans="1:2" ht="13.8" x14ac:dyDescent="0.25">
      <c r="A368" s="17">
        <v>16162</v>
      </c>
      <c r="B368" s="8">
        <v>41</v>
      </c>
    </row>
    <row r="369" spans="1:2" ht="13.8" x14ac:dyDescent="0.25">
      <c r="A369" s="17">
        <v>16179</v>
      </c>
      <c r="B369" s="8">
        <v>100</v>
      </c>
    </row>
    <row r="370" spans="1:2" ht="13.8" x14ac:dyDescent="0.25">
      <c r="A370" s="17">
        <v>16181</v>
      </c>
      <c r="B370" s="8">
        <v>78</v>
      </c>
    </row>
    <row r="371" spans="1:2" ht="13.8" x14ac:dyDescent="0.25">
      <c r="A371" s="17">
        <v>16207</v>
      </c>
      <c r="B371" s="8">
        <v>40</v>
      </c>
    </row>
    <row r="372" spans="1:2" ht="13.8" x14ac:dyDescent="0.25">
      <c r="A372" s="17">
        <v>16275</v>
      </c>
      <c r="B372" s="8">
        <v>58</v>
      </c>
    </row>
    <row r="373" spans="1:2" ht="13.8" x14ac:dyDescent="0.25">
      <c r="A373" s="17">
        <v>16333</v>
      </c>
      <c r="B373" s="8">
        <v>44</v>
      </c>
    </row>
    <row r="374" spans="1:2" ht="13.8" x14ac:dyDescent="0.25">
      <c r="A374" s="17">
        <v>16412</v>
      </c>
      <c r="B374" s="8">
        <v>60</v>
      </c>
    </row>
    <row r="375" spans="1:2" ht="13.8" x14ac:dyDescent="0.25">
      <c r="A375" s="17">
        <v>16478</v>
      </c>
      <c r="B375" s="8">
        <v>45</v>
      </c>
    </row>
    <row r="376" spans="1:2" ht="13.8" x14ac:dyDescent="0.25">
      <c r="A376" s="17">
        <v>16520</v>
      </c>
      <c r="B376" s="8">
        <v>94</v>
      </c>
    </row>
    <row r="377" spans="1:2" ht="13.8" x14ac:dyDescent="0.25">
      <c r="A377" s="17">
        <v>16556</v>
      </c>
      <c r="B377" s="8">
        <v>87</v>
      </c>
    </row>
    <row r="378" spans="1:2" ht="13.8" x14ac:dyDescent="0.25">
      <c r="A378" s="17">
        <v>16575</v>
      </c>
      <c r="B378" s="8">
        <v>42</v>
      </c>
    </row>
    <row r="379" spans="1:2" ht="13.8" x14ac:dyDescent="0.25">
      <c r="A379" s="17">
        <v>16704</v>
      </c>
      <c r="B379" s="8">
        <v>100</v>
      </c>
    </row>
    <row r="380" spans="1:2" ht="13.8" x14ac:dyDescent="0.25">
      <c r="A380" s="17">
        <v>16709</v>
      </c>
      <c r="B380" s="8">
        <v>79</v>
      </c>
    </row>
    <row r="381" spans="1:2" ht="13.8" x14ac:dyDescent="0.25">
      <c r="A381" s="17">
        <v>16759</v>
      </c>
      <c r="B381" s="8">
        <v>75</v>
      </c>
    </row>
    <row r="382" spans="1:2" ht="13.8" x14ac:dyDescent="0.25">
      <c r="A382" s="17">
        <v>16779</v>
      </c>
      <c r="B382" s="8">
        <v>50</v>
      </c>
    </row>
    <row r="383" spans="1:2" ht="13.8" x14ac:dyDescent="0.25">
      <c r="A383" s="17">
        <v>16900</v>
      </c>
      <c r="B383" s="8">
        <v>91</v>
      </c>
    </row>
    <row r="384" spans="1:2" ht="13.8" x14ac:dyDescent="0.25">
      <c r="A384" s="17">
        <v>16921</v>
      </c>
      <c r="B384" s="8">
        <v>89</v>
      </c>
    </row>
    <row r="385" spans="1:2" ht="13.8" x14ac:dyDescent="0.25">
      <c r="A385" s="17">
        <v>16944</v>
      </c>
      <c r="B385" s="8">
        <v>41</v>
      </c>
    </row>
    <row r="386" spans="1:2" ht="13.8" x14ac:dyDescent="0.25">
      <c r="A386" s="17">
        <v>16954</v>
      </c>
      <c r="B386" s="8">
        <v>62</v>
      </c>
    </row>
    <row r="387" spans="1:2" ht="13.8" x14ac:dyDescent="0.25">
      <c r="A387" s="17">
        <v>16970</v>
      </c>
      <c r="B387" s="8">
        <v>42</v>
      </c>
    </row>
    <row r="388" spans="1:2" ht="13.8" x14ac:dyDescent="0.25">
      <c r="A388" s="17">
        <v>17013</v>
      </c>
      <c r="B388" s="8">
        <v>94</v>
      </c>
    </row>
    <row r="389" spans="1:2" ht="13.8" x14ac:dyDescent="0.25">
      <c r="A389" s="17">
        <v>17113</v>
      </c>
      <c r="B389" s="8">
        <v>99</v>
      </c>
    </row>
    <row r="390" spans="1:2" ht="13.8" x14ac:dyDescent="0.25">
      <c r="A390" s="17">
        <v>17159</v>
      </c>
      <c r="B390" s="8">
        <v>71</v>
      </c>
    </row>
    <row r="391" spans="1:2" ht="13.8" x14ac:dyDescent="0.25">
      <c r="A391" s="17">
        <v>17264</v>
      </c>
      <c r="B391" s="8">
        <v>66</v>
      </c>
    </row>
    <row r="392" spans="1:2" ht="13.8" x14ac:dyDescent="0.25">
      <c r="A392" s="17">
        <v>17305</v>
      </c>
      <c r="B392" s="8">
        <v>47</v>
      </c>
    </row>
    <row r="393" spans="1:2" ht="13.8" x14ac:dyDescent="0.25">
      <c r="A393" s="17">
        <v>17380</v>
      </c>
      <c r="B393" s="8">
        <v>98</v>
      </c>
    </row>
    <row r="394" spans="1:2" ht="13.8" x14ac:dyDescent="0.25">
      <c r="A394" s="17">
        <v>17439</v>
      </c>
      <c r="B394" s="8">
        <v>43</v>
      </c>
    </row>
    <row r="395" spans="1:2" ht="13.8" x14ac:dyDescent="0.25">
      <c r="A395" s="17">
        <v>17441</v>
      </c>
      <c r="B395" s="8">
        <v>52</v>
      </c>
    </row>
    <row r="396" spans="1:2" ht="13.8" x14ac:dyDescent="0.25">
      <c r="A396" s="17">
        <v>17574</v>
      </c>
      <c r="B396" s="8">
        <v>80</v>
      </c>
    </row>
    <row r="397" spans="1:2" ht="13.8" x14ac:dyDescent="0.25">
      <c r="A397" s="17">
        <v>17629</v>
      </c>
      <c r="B397" s="8">
        <v>62</v>
      </c>
    </row>
    <row r="398" spans="1:2" ht="13.8" x14ac:dyDescent="0.25">
      <c r="A398" s="17">
        <v>17665</v>
      </c>
      <c r="B398" s="8">
        <v>78</v>
      </c>
    </row>
    <row r="399" spans="1:2" ht="13.8" x14ac:dyDescent="0.25">
      <c r="A399" s="17">
        <v>17723</v>
      </c>
      <c r="B399" s="8">
        <v>82</v>
      </c>
    </row>
    <row r="400" spans="1:2" ht="13.8" x14ac:dyDescent="0.25">
      <c r="A400" s="17">
        <v>17738</v>
      </c>
      <c r="B400" s="8">
        <v>82</v>
      </c>
    </row>
    <row r="401" spans="1:2" ht="13.8" x14ac:dyDescent="0.25">
      <c r="A401" s="17">
        <v>17793</v>
      </c>
      <c r="B401" s="8">
        <v>78</v>
      </c>
    </row>
    <row r="402" spans="1:2" ht="13.8" x14ac:dyDescent="0.25">
      <c r="A402" s="17">
        <v>17899</v>
      </c>
      <c r="B402" s="8">
        <v>91</v>
      </c>
    </row>
    <row r="403" spans="1:2" ht="13.8" x14ac:dyDescent="0.25">
      <c r="A403" s="17">
        <v>17925</v>
      </c>
      <c r="B403" s="8">
        <v>72</v>
      </c>
    </row>
    <row r="404" spans="1:2" ht="13.8" x14ac:dyDescent="0.25">
      <c r="A404" s="17">
        <v>17968</v>
      </c>
      <c r="B404" s="8">
        <v>43</v>
      </c>
    </row>
    <row r="405" spans="1:2" ht="13.8" x14ac:dyDescent="0.25">
      <c r="A405" s="17">
        <v>18037</v>
      </c>
      <c r="B405" s="8">
        <v>87</v>
      </c>
    </row>
    <row r="406" spans="1:2" ht="13.8" x14ac:dyDescent="0.25">
      <c r="A406" s="17">
        <v>18170</v>
      </c>
      <c r="B406" s="8">
        <v>84</v>
      </c>
    </row>
    <row r="407" spans="1:2" ht="13.8" x14ac:dyDescent="0.25">
      <c r="A407" s="17">
        <v>18210</v>
      </c>
      <c r="B407" s="8">
        <v>43</v>
      </c>
    </row>
    <row r="408" spans="1:2" ht="13.8" x14ac:dyDescent="0.25">
      <c r="A408" s="17">
        <v>18278</v>
      </c>
      <c r="B408" s="8">
        <v>64</v>
      </c>
    </row>
    <row r="409" spans="1:2" ht="13.8" x14ac:dyDescent="0.25">
      <c r="A409" s="17">
        <v>18282</v>
      </c>
      <c r="B409" s="8">
        <v>55</v>
      </c>
    </row>
    <row r="410" spans="1:2" ht="13.8" x14ac:dyDescent="0.25">
      <c r="A410" s="17">
        <v>18347</v>
      </c>
      <c r="B410" s="8">
        <v>82</v>
      </c>
    </row>
    <row r="411" spans="1:2" ht="13.8" x14ac:dyDescent="0.25">
      <c r="A411" s="17">
        <v>18439</v>
      </c>
      <c r="B411" s="8">
        <v>53</v>
      </c>
    </row>
    <row r="412" spans="1:2" ht="13.8" x14ac:dyDescent="0.25">
      <c r="A412" s="17">
        <v>18468</v>
      </c>
      <c r="B412" s="8">
        <v>57</v>
      </c>
    </row>
    <row r="413" spans="1:2" ht="13.8" x14ac:dyDescent="0.25">
      <c r="A413" s="17">
        <v>18507</v>
      </c>
      <c r="B413" s="8">
        <v>71</v>
      </c>
    </row>
    <row r="414" spans="1:2" ht="13.8" x14ac:dyDescent="0.25">
      <c r="A414" s="17">
        <v>18527</v>
      </c>
      <c r="B414" s="8">
        <v>76</v>
      </c>
    </row>
    <row r="415" spans="1:2" ht="13.8" x14ac:dyDescent="0.25">
      <c r="A415" s="17">
        <v>18546</v>
      </c>
      <c r="B415" s="8">
        <v>48</v>
      </c>
    </row>
    <row r="416" spans="1:2" ht="13.8" x14ac:dyDescent="0.25">
      <c r="A416" s="17">
        <v>18549</v>
      </c>
      <c r="B416" s="8">
        <v>98</v>
      </c>
    </row>
    <row r="417" spans="1:2" ht="13.8" x14ac:dyDescent="0.25">
      <c r="A417" s="17">
        <v>18576</v>
      </c>
      <c r="B417" s="8">
        <v>47</v>
      </c>
    </row>
    <row r="418" spans="1:2" ht="13.8" x14ac:dyDescent="0.25">
      <c r="A418" s="17">
        <v>18775</v>
      </c>
      <c r="B418" s="8">
        <v>56</v>
      </c>
    </row>
    <row r="419" spans="1:2" ht="13.8" x14ac:dyDescent="0.25">
      <c r="A419" s="17">
        <v>18947</v>
      </c>
      <c r="B419" s="8">
        <v>46</v>
      </c>
    </row>
    <row r="420" spans="1:2" ht="13.8" x14ac:dyDescent="0.25">
      <c r="A420" s="17">
        <v>18954</v>
      </c>
      <c r="B420" s="8">
        <v>70</v>
      </c>
    </row>
    <row r="421" spans="1:2" ht="13.8" x14ac:dyDescent="0.25">
      <c r="A421" s="17">
        <v>18994</v>
      </c>
      <c r="B421" s="8">
        <v>49</v>
      </c>
    </row>
    <row r="422" spans="1:2" ht="13.8" x14ac:dyDescent="0.25">
      <c r="A422" s="17">
        <v>19030</v>
      </c>
      <c r="B422" s="8">
        <v>61</v>
      </c>
    </row>
    <row r="423" spans="1:2" ht="13.8" x14ac:dyDescent="0.25">
      <c r="A423" s="17">
        <v>19043</v>
      </c>
      <c r="B423" s="8">
        <v>48</v>
      </c>
    </row>
    <row r="424" spans="1:2" ht="13.8" x14ac:dyDescent="0.25">
      <c r="A424" s="17">
        <v>19051</v>
      </c>
      <c r="B424" s="8">
        <v>75</v>
      </c>
    </row>
    <row r="425" spans="1:2" ht="13.8" x14ac:dyDescent="0.25">
      <c r="A425" s="17">
        <v>19077</v>
      </c>
      <c r="B425" s="8">
        <v>54</v>
      </c>
    </row>
    <row r="426" spans="1:2" ht="13.8" x14ac:dyDescent="0.25">
      <c r="A426" s="17">
        <v>19089</v>
      </c>
      <c r="B426" s="8">
        <v>58</v>
      </c>
    </row>
    <row r="427" spans="1:2" ht="13.8" x14ac:dyDescent="0.25">
      <c r="A427" s="17">
        <v>19290</v>
      </c>
      <c r="B427" s="8">
        <v>64</v>
      </c>
    </row>
    <row r="428" spans="1:2" ht="13.8" x14ac:dyDescent="0.25">
      <c r="A428" s="17">
        <v>19326</v>
      </c>
      <c r="B428" s="8">
        <v>54</v>
      </c>
    </row>
    <row r="429" spans="1:2" ht="13.8" x14ac:dyDescent="0.25">
      <c r="A429" s="17">
        <v>19368</v>
      </c>
      <c r="B429" s="8">
        <v>46</v>
      </c>
    </row>
    <row r="430" spans="1:2" ht="13.8" x14ac:dyDescent="0.25">
      <c r="A430" s="17">
        <v>19378</v>
      </c>
      <c r="B430" s="8">
        <v>63</v>
      </c>
    </row>
    <row r="431" spans="1:2" ht="13.8" x14ac:dyDescent="0.25">
      <c r="A431" s="17">
        <v>19392</v>
      </c>
      <c r="B431" s="8">
        <v>87</v>
      </c>
    </row>
    <row r="432" spans="1:2" ht="13.8" x14ac:dyDescent="0.25">
      <c r="A432" s="17">
        <v>19424</v>
      </c>
      <c r="B432" s="8">
        <v>100</v>
      </c>
    </row>
    <row r="433" spans="1:2" ht="13.8" x14ac:dyDescent="0.25">
      <c r="A433" s="17">
        <v>19434</v>
      </c>
      <c r="B433" s="8">
        <v>95</v>
      </c>
    </row>
    <row r="434" spans="1:2" ht="13.8" x14ac:dyDescent="0.25">
      <c r="A434" s="17">
        <v>19607</v>
      </c>
      <c r="B434" s="8">
        <v>94</v>
      </c>
    </row>
    <row r="435" spans="1:2" ht="13.8" x14ac:dyDescent="0.25">
      <c r="A435" s="17">
        <v>19621</v>
      </c>
      <c r="B435" s="8">
        <v>57</v>
      </c>
    </row>
    <row r="436" spans="1:2" ht="13.8" x14ac:dyDescent="0.25">
      <c r="A436" s="17">
        <v>19700</v>
      </c>
      <c r="B436" s="8">
        <v>53</v>
      </c>
    </row>
    <row r="437" spans="1:2" ht="13.8" x14ac:dyDescent="0.25">
      <c r="A437" s="17">
        <v>19748</v>
      </c>
      <c r="B437" s="8">
        <v>94</v>
      </c>
    </row>
    <row r="438" spans="1:2" ht="13.8" x14ac:dyDescent="0.25">
      <c r="A438" s="17">
        <v>19751</v>
      </c>
      <c r="B438" s="8">
        <v>69</v>
      </c>
    </row>
    <row r="439" spans="1:2" ht="13.8" x14ac:dyDescent="0.25">
      <c r="A439" s="17">
        <v>19863</v>
      </c>
      <c r="B439" s="8">
        <v>56</v>
      </c>
    </row>
    <row r="440" spans="1:2" ht="13.8" x14ac:dyDescent="0.25">
      <c r="A440" s="17">
        <v>19894</v>
      </c>
      <c r="B440" s="8">
        <v>78</v>
      </c>
    </row>
    <row r="441" spans="1:2" ht="13.8" x14ac:dyDescent="0.25">
      <c r="A441" s="17">
        <v>20061</v>
      </c>
      <c r="B441" s="8">
        <v>50</v>
      </c>
    </row>
    <row r="442" spans="1:2" ht="13.8" x14ac:dyDescent="0.25">
      <c r="A442" s="17">
        <v>20070</v>
      </c>
      <c r="B442" s="8">
        <v>46</v>
      </c>
    </row>
    <row r="443" spans="1:2" ht="13.8" x14ac:dyDescent="0.25">
      <c r="A443" s="17">
        <v>20095</v>
      </c>
      <c r="B443" s="8">
        <v>91</v>
      </c>
    </row>
    <row r="444" spans="1:2" ht="13.8" x14ac:dyDescent="0.25">
      <c r="A444" s="17">
        <v>20099</v>
      </c>
      <c r="B444" s="8">
        <v>79</v>
      </c>
    </row>
    <row r="445" spans="1:2" ht="13.8" x14ac:dyDescent="0.25">
      <c r="A445" s="17">
        <v>20127</v>
      </c>
      <c r="B445" s="8">
        <v>74</v>
      </c>
    </row>
    <row r="446" spans="1:2" ht="13.8" x14ac:dyDescent="0.25">
      <c r="A446" s="17">
        <v>20213</v>
      </c>
      <c r="B446" s="8">
        <v>69</v>
      </c>
    </row>
    <row r="447" spans="1:2" ht="13.8" x14ac:dyDescent="0.25">
      <c r="A447" s="17">
        <v>20280</v>
      </c>
      <c r="B447" s="8">
        <v>73</v>
      </c>
    </row>
    <row r="448" spans="1:2" ht="13.8" x14ac:dyDescent="0.25">
      <c r="A448" s="17">
        <v>20284</v>
      </c>
      <c r="B448" s="8">
        <v>92</v>
      </c>
    </row>
    <row r="449" spans="1:2" ht="13.8" x14ac:dyDescent="0.25">
      <c r="A449" s="17">
        <v>20344</v>
      </c>
      <c r="B449" s="8">
        <v>68</v>
      </c>
    </row>
    <row r="450" spans="1:2" ht="13.8" x14ac:dyDescent="0.25">
      <c r="A450" s="17">
        <v>20354</v>
      </c>
      <c r="B450" s="8">
        <v>69</v>
      </c>
    </row>
    <row r="451" spans="1:2" ht="13.8" x14ac:dyDescent="0.25">
      <c r="A451" s="17">
        <v>20410</v>
      </c>
      <c r="B451" s="8">
        <v>76</v>
      </c>
    </row>
    <row r="452" spans="1:2" ht="13.8" x14ac:dyDescent="0.25">
      <c r="A452" s="17">
        <v>20465</v>
      </c>
      <c r="B452" s="8">
        <v>57</v>
      </c>
    </row>
    <row r="453" spans="1:2" ht="13.8" x14ac:dyDescent="0.25">
      <c r="A453" s="17">
        <v>20523</v>
      </c>
      <c r="B453" s="8">
        <v>53</v>
      </c>
    </row>
    <row r="454" spans="1:2" ht="13.8" x14ac:dyDescent="0.25">
      <c r="A454" s="17">
        <v>20545</v>
      </c>
      <c r="B454" s="8">
        <v>99</v>
      </c>
    </row>
    <row r="455" spans="1:2" ht="13.8" x14ac:dyDescent="0.25">
      <c r="A455" s="17">
        <v>20554</v>
      </c>
      <c r="B455" s="8">
        <v>90</v>
      </c>
    </row>
    <row r="456" spans="1:2" ht="13.8" x14ac:dyDescent="0.25">
      <c r="A456" s="17">
        <v>20582</v>
      </c>
      <c r="B456" s="8">
        <v>57</v>
      </c>
    </row>
    <row r="457" spans="1:2" ht="13.8" x14ac:dyDescent="0.25">
      <c r="A457" s="17">
        <v>20676</v>
      </c>
      <c r="B457" s="8">
        <v>69</v>
      </c>
    </row>
    <row r="458" spans="1:2" ht="13.8" x14ac:dyDescent="0.25">
      <c r="A458" s="17">
        <v>20761</v>
      </c>
      <c r="B458" s="8">
        <v>69</v>
      </c>
    </row>
    <row r="459" spans="1:2" ht="13.8" x14ac:dyDescent="0.25">
      <c r="A459" s="17">
        <v>20772</v>
      </c>
      <c r="B459" s="8">
        <v>43</v>
      </c>
    </row>
    <row r="460" spans="1:2" ht="13.8" x14ac:dyDescent="0.25">
      <c r="A460" s="17">
        <v>20830</v>
      </c>
      <c r="B460" s="8">
        <v>52</v>
      </c>
    </row>
    <row r="461" spans="1:2" ht="13.8" x14ac:dyDescent="0.25">
      <c r="A461" s="17">
        <v>20847</v>
      </c>
      <c r="B461" s="8">
        <v>66</v>
      </c>
    </row>
    <row r="462" spans="1:2" ht="13.8" x14ac:dyDescent="0.25">
      <c r="A462" s="17">
        <v>20860</v>
      </c>
      <c r="B462" s="8">
        <v>56</v>
      </c>
    </row>
    <row r="463" spans="1:2" ht="13.8" x14ac:dyDescent="0.25">
      <c r="A463" s="17">
        <v>20887</v>
      </c>
      <c r="B463" s="8">
        <v>49</v>
      </c>
    </row>
    <row r="464" spans="1:2" ht="13.8" x14ac:dyDescent="0.25">
      <c r="A464" s="17">
        <v>20888</v>
      </c>
      <c r="B464" s="8">
        <v>86</v>
      </c>
    </row>
    <row r="465" spans="1:2" ht="13.8" x14ac:dyDescent="0.25">
      <c r="A465" s="17">
        <v>20920</v>
      </c>
      <c r="B465" s="8">
        <v>56</v>
      </c>
    </row>
    <row r="466" spans="1:2" ht="13.8" x14ac:dyDescent="0.25">
      <c r="A466" s="17">
        <v>20954</v>
      </c>
      <c r="B466" s="8">
        <v>64</v>
      </c>
    </row>
    <row r="467" spans="1:2" ht="13.8" x14ac:dyDescent="0.25">
      <c r="A467" s="17">
        <v>21101</v>
      </c>
      <c r="B467" s="8">
        <v>95</v>
      </c>
    </row>
    <row r="468" spans="1:2" ht="13.8" x14ac:dyDescent="0.25">
      <c r="A468" s="17">
        <v>21118</v>
      </c>
      <c r="B468" s="8">
        <v>67</v>
      </c>
    </row>
    <row r="469" spans="1:2" ht="13.8" x14ac:dyDescent="0.25">
      <c r="A469" s="17">
        <v>21216</v>
      </c>
      <c r="B469" s="8">
        <v>44</v>
      </c>
    </row>
    <row r="470" spans="1:2" ht="13.8" x14ac:dyDescent="0.25">
      <c r="A470" s="17">
        <v>21223</v>
      </c>
      <c r="B470" s="8">
        <v>64</v>
      </c>
    </row>
    <row r="471" spans="1:2" ht="13.8" x14ac:dyDescent="0.25">
      <c r="A471" s="17">
        <v>21257</v>
      </c>
      <c r="B471" s="8">
        <v>63</v>
      </c>
    </row>
    <row r="472" spans="1:2" ht="13.8" x14ac:dyDescent="0.25">
      <c r="A472" s="17">
        <v>21346</v>
      </c>
      <c r="B472" s="8">
        <v>94</v>
      </c>
    </row>
    <row r="473" spans="1:2" ht="13.8" x14ac:dyDescent="0.25">
      <c r="A473" s="17">
        <v>21520</v>
      </c>
      <c r="B473" s="8">
        <v>56</v>
      </c>
    </row>
    <row r="474" spans="1:2" ht="13.8" x14ac:dyDescent="0.25">
      <c r="A474" s="17">
        <v>21533</v>
      </c>
      <c r="B474" s="8">
        <v>92</v>
      </c>
    </row>
    <row r="475" spans="1:2" ht="13.8" x14ac:dyDescent="0.25">
      <c r="A475" s="17">
        <v>21537</v>
      </c>
      <c r="B475" s="8">
        <v>62</v>
      </c>
    </row>
    <row r="476" spans="1:2" ht="13.8" x14ac:dyDescent="0.25">
      <c r="A476" s="17">
        <v>21577</v>
      </c>
      <c r="B476" s="8">
        <v>79</v>
      </c>
    </row>
    <row r="477" spans="1:2" ht="13.8" x14ac:dyDescent="0.25">
      <c r="A477" s="17">
        <v>21632</v>
      </c>
      <c r="B477" s="8">
        <v>84</v>
      </c>
    </row>
    <row r="478" spans="1:2" ht="13.8" x14ac:dyDescent="0.25">
      <c r="A478" s="17">
        <v>21642</v>
      </c>
      <c r="B478" s="8">
        <v>82</v>
      </c>
    </row>
    <row r="479" spans="1:2" ht="13.8" x14ac:dyDescent="0.25">
      <c r="A479" s="17">
        <v>21778</v>
      </c>
      <c r="B479" s="8">
        <v>80</v>
      </c>
    </row>
    <row r="480" spans="1:2" ht="13.8" x14ac:dyDescent="0.25">
      <c r="A480" s="17">
        <v>21847</v>
      </c>
      <c r="B480" s="8">
        <v>43</v>
      </c>
    </row>
    <row r="481" spans="1:2" ht="13.8" x14ac:dyDescent="0.25">
      <c r="A481" s="17">
        <v>21942</v>
      </c>
      <c r="B481" s="8">
        <v>65</v>
      </c>
    </row>
    <row r="482" spans="1:2" ht="13.8" x14ac:dyDescent="0.25">
      <c r="A482" s="17">
        <v>21976</v>
      </c>
      <c r="B482" s="8">
        <v>46</v>
      </c>
    </row>
    <row r="483" spans="1:2" ht="13.8" x14ac:dyDescent="0.25">
      <c r="A483" s="17">
        <v>22007</v>
      </c>
      <c r="B483" s="8">
        <v>56</v>
      </c>
    </row>
    <row r="484" spans="1:2" ht="13.8" x14ac:dyDescent="0.25">
      <c r="A484" s="17">
        <v>22013</v>
      </c>
      <c r="B484" s="8">
        <v>79</v>
      </c>
    </row>
    <row r="485" spans="1:2" ht="13.8" x14ac:dyDescent="0.25">
      <c r="A485" s="17">
        <v>22037</v>
      </c>
      <c r="B485" s="8">
        <v>51</v>
      </c>
    </row>
    <row r="486" spans="1:2" ht="13.8" x14ac:dyDescent="0.25">
      <c r="A486" s="17">
        <v>22146</v>
      </c>
      <c r="B486" s="8">
        <v>80</v>
      </c>
    </row>
    <row r="487" spans="1:2" ht="13.8" x14ac:dyDescent="0.25">
      <c r="A487" s="17">
        <v>22200</v>
      </c>
      <c r="B487" s="8">
        <v>72</v>
      </c>
    </row>
    <row r="488" spans="1:2" ht="13.8" x14ac:dyDescent="0.25">
      <c r="A488" s="17">
        <v>22240</v>
      </c>
      <c r="B488" s="8">
        <v>57</v>
      </c>
    </row>
    <row r="489" spans="1:2" ht="13.8" x14ac:dyDescent="0.25">
      <c r="A489" s="17">
        <v>22279</v>
      </c>
      <c r="B489" s="8">
        <v>88</v>
      </c>
    </row>
    <row r="490" spans="1:2" ht="13.8" x14ac:dyDescent="0.25">
      <c r="A490" s="17">
        <v>22304</v>
      </c>
      <c r="B490" s="8">
        <v>52</v>
      </c>
    </row>
    <row r="491" spans="1:2" ht="13.8" x14ac:dyDescent="0.25">
      <c r="A491" s="17">
        <v>22352</v>
      </c>
      <c r="B491" s="8">
        <v>74</v>
      </c>
    </row>
    <row r="492" spans="1:2" ht="13.8" x14ac:dyDescent="0.25">
      <c r="A492" s="17">
        <v>22362</v>
      </c>
      <c r="B492" s="8">
        <v>82</v>
      </c>
    </row>
    <row r="493" spans="1:2" ht="13.8" x14ac:dyDescent="0.25">
      <c r="A493" s="17">
        <v>22365</v>
      </c>
      <c r="B493" s="8">
        <v>91</v>
      </c>
    </row>
    <row r="494" spans="1:2" ht="13.8" x14ac:dyDescent="0.25">
      <c r="A494" s="17">
        <v>22376</v>
      </c>
      <c r="B494" s="8">
        <v>62</v>
      </c>
    </row>
    <row r="495" spans="1:2" ht="13.8" x14ac:dyDescent="0.25">
      <c r="A495" s="17">
        <v>22415</v>
      </c>
      <c r="B495" s="8">
        <v>71</v>
      </c>
    </row>
    <row r="496" spans="1:2" ht="13.8" x14ac:dyDescent="0.25">
      <c r="A496" s="17">
        <v>22514</v>
      </c>
      <c r="B496" s="8">
        <v>95</v>
      </c>
    </row>
    <row r="497" spans="1:2" ht="13.8" x14ac:dyDescent="0.25">
      <c r="A497" s="17">
        <v>22536</v>
      </c>
      <c r="B497" s="8">
        <v>92</v>
      </c>
    </row>
    <row r="498" spans="1:2" ht="13.8" x14ac:dyDescent="0.25">
      <c r="A498" s="17">
        <v>22537</v>
      </c>
      <c r="B498" s="8">
        <v>63</v>
      </c>
    </row>
    <row r="499" spans="1:2" ht="13.8" x14ac:dyDescent="0.25">
      <c r="A499" s="17">
        <v>22677</v>
      </c>
      <c r="B499" s="8">
        <v>85</v>
      </c>
    </row>
    <row r="500" spans="1:2" ht="13.8" x14ac:dyDescent="0.25">
      <c r="A500" s="17">
        <v>22683</v>
      </c>
      <c r="B500" s="8">
        <v>61</v>
      </c>
    </row>
    <row r="501" spans="1:2" ht="13.8" x14ac:dyDescent="0.25">
      <c r="A501" s="17">
        <v>22748</v>
      </c>
      <c r="B501" s="8">
        <v>41</v>
      </c>
    </row>
    <row r="502" spans="1:2" ht="13.8" x14ac:dyDescent="0.25">
      <c r="A502" s="17">
        <v>22901</v>
      </c>
      <c r="B502" s="8">
        <v>99</v>
      </c>
    </row>
    <row r="503" spans="1:2" ht="13.8" x14ac:dyDescent="0.25">
      <c r="A503" s="17">
        <v>22912</v>
      </c>
      <c r="B503" s="8">
        <v>100</v>
      </c>
    </row>
    <row r="504" spans="1:2" ht="13.8" x14ac:dyDescent="0.25">
      <c r="A504" s="17">
        <v>23043</v>
      </c>
      <c r="B504" s="8">
        <v>42</v>
      </c>
    </row>
    <row r="505" spans="1:2" ht="13.8" x14ac:dyDescent="0.25">
      <c r="A505" s="17">
        <v>23050</v>
      </c>
      <c r="B505" s="8">
        <v>87</v>
      </c>
    </row>
    <row r="506" spans="1:2" ht="13.8" x14ac:dyDescent="0.25">
      <c r="A506" s="17">
        <v>23208</v>
      </c>
      <c r="B506" s="8">
        <v>68</v>
      </c>
    </row>
    <row r="507" spans="1:2" ht="13.8" x14ac:dyDescent="0.25">
      <c r="A507" s="17">
        <v>23213</v>
      </c>
      <c r="B507" s="8">
        <v>41</v>
      </c>
    </row>
    <row r="508" spans="1:2" ht="13.8" x14ac:dyDescent="0.25">
      <c r="A508" s="17">
        <v>23310</v>
      </c>
      <c r="B508" s="8">
        <v>98</v>
      </c>
    </row>
    <row r="509" spans="1:2" ht="13.8" x14ac:dyDescent="0.25">
      <c r="A509" s="17">
        <v>23343</v>
      </c>
      <c r="B509" s="8">
        <v>45</v>
      </c>
    </row>
    <row r="510" spans="1:2" ht="13.8" x14ac:dyDescent="0.25">
      <c r="A510" s="17">
        <v>23430</v>
      </c>
      <c r="B510" s="8">
        <v>88</v>
      </c>
    </row>
    <row r="511" spans="1:2" ht="13.8" x14ac:dyDescent="0.25">
      <c r="A511" s="17">
        <v>23505</v>
      </c>
      <c r="B511" s="8">
        <v>70</v>
      </c>
    </row>
    <row r="512" spans="1:2" ht="13.8" x14ac:dyDescent="0.25">
      <c r="A512" s="17">
        <v>23554</v>
      </c>
      <c r="B512" s="8">
        <v>67</v>
      </c>
    </row>
    <row r="513" spans="1:2" ht="13.8" x14ac:dyDescent="0.25">
      <c r="A513" s="17">
        <v>23767</v>
      </c>
      <c r="B513" s="8">
        <v>58</v>
      </c>
    </row>
    <row r="514" spans="1:2" ht="13.8" x14ac:dyDescent="0.25">
      <c r="A514" s="17">
        <v>23875</v>
      </c>
      <c r="B514" s="8">
        <v>91</v>
      </c>
    </row>
    <row r="515" spans="1:2" ht="13.8" x14ac:dyDescent="0.25">
      <c r="A515" s="17">
        <v>23946</v>
      </c>
      <c r="B515" s="8">
        <v>82</v>
      </c>
    </row>
    <row r="516" spans="1:2" ht="13.8" x14ac:dyDescent="0.25">
      <c r="A516" s="17">
        <v>23963</v>
      </c>
      <c r="B516" s="8">
        <v>67</v>
      </c>
    </row>
    <row r="517" spans="1:2" ht="13.8" x14ac:dyDescent="0.25">
      <c r="A517" s="17">
        <v>23973</v>
      </c>
      <c r="B517" s="8">
        <v>61</v>
      </c>
    </row>
    <row r="518" spans="1:2" ht="13.8" x14ac:dyDescent="0.25">
      <c r="A518" s="17">
        <v>23991</v>
      </c>
      <c r="B518" s="8">
        <v>90</v>
      </c>
    </row>
    <row r="519" spans="1:2" ht="13.8" x14ac:dyDescent="0.25">
      <c r="A519" s="17">
        <v>23994</v>
      </c>
      <c r="B519" s="8">
        <v>88</v>
      </c>
    </row>
    <row r="520" spans="1:2" ht="13.8" x14ac:dyDescent="0.25">
      <c r="A520" s="17">
        <v>24005</v>
      </c>
      <c r="B520" s="8">
        <v>89</v>
      </c>
    </row>
    <row r="521" spans="1:2" ht="13.8" x14ac:dyDescent="0.25">
      <c r="A521" s="17">
        <v>24024</v>
      </c>
      <c r="B521" s="8">
        <v>84</v>
      </c>
    </row>
    <row r="522" spans="1:2" ht="13.8" x14ac:dyDescent="0.25">
      <c r="A522" s="17">
        <v>24234</v>
      </c>
      <c r="B522" s="8">
        <v>49</v>
      </c>
    </row>
    <row r="523" spans="1:2" ht="13.8" x14ac:dyDescent="0.25">
      <c r="A523" s="17">
        <v>24290</v>
      </c>
      <c r="B523" s="8">
        <v>85</v>
      </c>
    </row>
    <row r="524" spans="1:2" ht="13.8" x14ac:dyDescent="0.25">
      <c r="A524" s="17">
        <v>24304</v>
      </c>
      <c r="B524" s="8">
        <v>73</v>
      </c>
    </row>
    <row r="525" spans="1:2" ht="13.8" x14ac:dyDescent="0.25">
      <c r="A525" s="17">
        <v>24442</v>
      </c>
      <c r="B525" s="8">
        <v>99</v>
      </c>
    </row>
    <row r="526" spans="1:2" ht="13.8" x14ac:dyDescent="0.25">
      <c r="A526" s="17">
        <v>24467</v>
      </c>
      <c r="B526" s="8">
        <v>40</v>
      </c>
    </row>
    <row r="527" spans="1:2" ht="13.8" x14ac:dyDescent="0.25">
      <c r="A527" s="17">
        <v>24526</v>
      </c>
      <c r="B527" s="8">
        <v>93</v>
      </c>
    </row>
    <row r="528" spans="1:2" ht="13.8" x14ac:dyDescent="0.25">
      <c r="A528" s="17">
        <v>24541</v>
      </c>
      <c r="B528" s="8">
        <v>95</v>
      </c>
    </row>
    <row r="529" spans="1:2" ht="13.8" x14ac:dyDescent="0.25">
      <c r="A529" s="17">
        <v>24568</v>
      </c>
      <c r="B529" s="8">
        <v>71</v>
      </c>
    </row>
    <row r="530" spans="1:2" ht="13.8" x14ac:dyDescent="0.25">
      <c r="A530" s="17">
        <v>24630</v>
      </c>
      <c r="B530" s="8">
        <v>59</v>
      </c>
    </row>
    <row r="531" spans="1:2" ht="13.8" x14ac:dyDescent="0.25">
      <c r="A531" s="17">
        <v>24701</v>
      </c>
      <c r="B531" s="8">
        <v>77</v>
      </c>
    </row>
    <row r="532" spans="1:2" ht="13.8" x14ac:dyDescent="0.25">
      <c r="A532" s="17">
        <v>24899</v>
      </c>
      <c r="B532" s="8">
        <v>50</v>
      </c>
    </row>
    <row r="533" spans="1:2" ht="13.8" x14ac:dyDescent="0.25">
      <c r="A533" s="17">
        <v>24901</v>
      </c>
      <c r="B533" s="8">
        <v>90</v>
      </c>
    </row>
    <row r="534" spans="1:2" ht="13.8" x14ac:dyDescent="0.25">
      <c r="A534" s="17">
        <v>24981</v>
      </c>
      <c r="B534" s="8">
        <v>71</v>
      </c>
    </row>
    <row r="535" spans="1:2" ht="13.8" x14ac:dyDescent="0.25">
      <c r="A535" s="17">
        <v>24985</v>
      </c>
      <c r="B535" s="8">
        <v>78</v>
      </c>
    </row>
    <row r="536" spans="1:2" ht="13.8" x14ac:dyDescent="0.25">
      <c r="A536" s="17">
        <v>25020</v>
      </c>
      <c r="B536" s="8">
        <v>85</v>
      </c>
    </row>
    <row r="537" spans="1:2" ht="13.8" x14ac:dyDescent="0.25">
      <c r="A537" s="17">
        <v>25116</v>
      </c>
      <c r="B537" s="8">
        <v>68</v>
      </c>
    </row>
    <row r="538" spans="1:2" ht="13.8" x14ac:dyDescent="0.25">
      <c r="A538" s="17">
        <v>25127</v>
      </c>
      <c r="B538" s="8">
        <v>50</v>
      </c>
    </row>
    <row r="539" spans="1:2" ht="13.8" x14ac:dyDescent="0.25">
      <c r="A539" s="17">
        <v>25158</v>
      </c>
      <c r="B539" s="8">
        <v>74</v>
      </c>
    </row>
    <row r="540" spans="1:2" ht="13.8" x14ac:dyDescent="0.25">
      <c r="A540" s="17">
        <v>25256</v>
      </c>
      <c r="B540" s="8">
        <v>51</v>
      </c>
    </row>
    <row r="541" spans="1:2" ht="13.8" x14ac:dyDescent="0.25">
      <c r="A541" s="17">
        <v>25282</v>
      </c>
      <c r="B541" s="8">
        <v>70</v>
      </c>
    </row>
    <row r="542" spans="1:2" ht="13.8" x14ac:dyDescent="0.25">
      <c r="A542" s="17">
        <v>25283</v>
      </c>
      <c r="B542" s="8">
        <v>97</v>
      </c>
    </row>
    <row r="543" spans="1:2" ht="13.8" x14ac:dyDescent="0.25">
      <c r="A543" s="17">
        <v>25345</v>
      </c>
      <c r="B543" s="8">
        <v>71</v>
      </c>
    </row>
    <row r="544" spans="1:2" ht="13.8" x14ac:dyDescent="0.25">
      <c r="A544" s="17">
        <v>25355</v>
      </c>
      <c r="B544" s="8">
        <v>87</v>
      </c>
    </row>
    <row r="545" spans="1:2" ht="13.8" x14ac:dyDescent="0.25">
      <c r="A545" s="17">
        <v>25389</v>
      </c>
      <c r="B545" s="8">
        <v>47</v>
      </c>
    </row>
    <row r="546" spans="1:2" ht="13.8" x14ac:dyDescent="0.25">
      <c r="A546" s="17">
        <v>25433</v>
      </c>
      <c r="B546" s="8">
        <v>71</v>
      </c>
    </row>
    <row r="547" spans="1:2" ht="13.8" x14ac:dyDescent="0.25">
      <c r="A547" s="17">
        <v>25446</v>
      </c>
      <c r="B547" s="8">
        <v>88</v>
      </c>
    </row>
    <row r="548" spans="1:2" ht="13.8" x14ac:dyDescent="0.25">
      <c r="A548" s="17">
        <v>25447</v>
      </c>
      <c r="B548" s="8">
        <v>63</v>
      </c>
    </row>
    <row r="549" spans="1:2" ht="13.8" x14ac:dyDescent="0.25">
      <c r="A549" s="17">
        <v>25554</v>
      </c>
      <c r="B549" s="8">
        <v>81</v>
      </c>
    </row>
    <row r="550" spans="1:2" ht="13.8" x14ac:dyDescent="0.25">
      <c r="A550" s="17">
        <v>25717</v>
      </c>
      <c r="B550" s="8">
        <v>89</v>
      </c>
    </row>
    <row r="551" spans="1:2" ht="13.8" x14ac:dyDescent="0.25">
      <c r="A551" s="17">
        <v>25818</v>
      </c>
      <c r="B551" s="8">
        <v>74</v>
      </c>
    </row>
    <row r="552" spans="1:2" ht="13.8" x14ac:dyDescent="0.25">
      <c r="A552" s="17">
        <v>25826</v>
      </c>
      <c r="B552" s="8">
        <v>55</v>
      </c>
    </row>
    <row r="553" spans="1:2" ht="13.8" x14ac:dyDescent="0.25">
      <c r="A553" s="17">
        <v>26005</v>
      </c>
      <c r="B553" s="8">
        <v>99</v>
      </c>
    </row>
    <row r="554" spans="1:2" ht="13.8" x14ac:dyDescent="0.25">
      <c r="A554" s="17">
        <v>26139</v>
      </c>
      <c r="B554" s="8">
        <v>62</v>
      </c>
    </row>
    <row r="555" spans="1:2" ht="13.8" x14ac:dyDescent="0.25">
      <c r="A555" s="17">
        <v>26186</v>
      </c>
      <c r="B555" s="8">
        <v>74</v>
      </c>
    </row>
    <row r="556" spans="1:2" ht="13.8" x14ac:dyDescent="0.25">
      <c r="A556" s="17">
        <v>26206</v>
      </c>
      <c r="B556" s="8">
        <v>41</v>
      </c>
    </row>
    <row r="557" spans="1:2" ht="13.8" x14ac:dyDescent="0.25">
      <c r="A557" s="17">
        <v>26214</v>
      </c>
      <c r="B557" s="8">
        <v>68</v>
      </c>
    </row>
    <row r="558" spans="1:2" ht="13.8" x14ac:dyDescent="0.25">
      <c r="A558" s="17">
        <v>26282</v>
      </c>
      <c r="B558" s="8">
        <v>77</v>
      </c>
    </row>
    <row r="559" spans="1:2" ht="13.8" x14ac:dyDescent="0.25">
      <c r="A559" s="17">
        <v>26325</v>
      </c>
      <c r="B559" s="8">
        <v>96</v>
      </c>
    </row>
    <row r="560" spans="1:2" ht="13.8" x14ac:dyDescent="0.25">
      <c r="A560" s="17">
        <v>26384</v>
      </c>
      <c r="B560" s="8">
        <v>83</v>
      </c>
    </row>
    <row r="561" spans="1:2" ht="13.8" x14ac:dyDescent="0.25">
      <c r="A561" s="17">
        <v>26471</v>
      </c>
      <c r="B561" s="8">
        <v>67</v>
      </c>
    </row>
    <row r="562" spans="1:2" ht="13.8" x14ac:dyDescent="0.25">
      <c r="A562" s="17">
        <v>26475</v>
      </c>
      <c r="B562" s="8">
        <v>57</v>
      </c>
    </row>
    <row r="563" spans="1:2" ht="13.8" x14ac:dyDescent="0.25">
      <c r="A563" s="17">
        <v>26714</v>
      </c>
      <c r="B563" s="8">
        <v>70</v>
      </c>
    </row>
    <row r="564" spans="1:2" ht="13.8" x14ac:dyDescent="0.25">
      <c r="A564" s="17">
        <v>26896</v>
      </c>
      <c r="B564" s="8">
        <v>76</v>
      </c>
    </row>
    <row r="565" spans="1:2" ht="13.8" x14ac:dyDescent="0.25">
      <c r="A565" s="17">
        <v>26918</v>
      </c>
      <c r="B565" s="8">
        <v>81</v>
      </c>
    </row>
    <row r="566" spans="1:2" ht="13.8" x14ac:dyDescent="0.25">
      <c r="A566" s="17">
        <v>26919</v>
      </c>
      <c r="B566" s="8">
        <v>70</v>
      </c>
    </row>
    <row r="567" spans="1:2" ht="13.8" x14ac:dyDescent="0.25">
      <c r="A567" s="17">
        <v>27039</v>
      </c>
      <c r="B567" s="8">
        <v>76</v>
      </c>
    </row>
    <row r="568" spans="1:2" ht="13.8" x14ac:dyDescent="0.25">
      <c r="A568" s="17">
        <v>27140</v>
      </c>
      <c r="B568" s="8">
        <v>60</v>
      </c>
    </row>
    <row r="569" spans="1:2" ht="13.8" x14ac:dyDescent="0.25">
      <c r="A569" s="17">
        <v>27148</v>
      </c>
      <c r="B569" s="8">
        <v>41</v>
      </c>
    </row>
    <row r="570" spans="1:2" ht="13.8" x14ac:dyDescent="0.25">
      <c r="A570" s="17">
        <v>27342</v>
      </c>
      <c r="B570" s="8">
        <v>56</v>
      </c>
    </row>
    <row r="571" spans="1:2" ht="13.8" x14ac:dyDescent="0.25">
      <c r="A571" s="17">
        <v>27369</v>
      </c>
      <c r="B571" s="8">
        <v>57</v>
      </c>
    </row>
    <row r="572" spans="1:2" ht="13.8" x14ac:dyDescent="0.25">
      <c r="A572" s="17">
        <v>27383</v>
      </c>
      <c r="B572" s="8">
        <v>86</v>
      </c>
    </row>
    <row r="573" spans="1:2" ht="13.8" x14ac:dyDescent="0.25">
      <c r="A573" s="17">
        <v>27479</v>
      </c>
      <c r="B573" s="8">
        <v>64</v>
      </c>
    </row>
    <row r="574" spans="1:2" ht="13.8" x14ac:dyDescent="0.25">
      <c r="A574" s="17">
        <v>27522</v>
      </c>
      <c r="B574" s="8">
        <v>49</v>
      </c>
    </row>
    <row r="575" spans="1:2" ht="13.8" x14ac:dyDescent="0.25">
      <c r="A575" s="17">
        <v>27527</v>
      </c>
      <c r="B575" s="8">
        <v>79</v>
      </c>
    </row>
    <row r="576" spans="1:2" ht="13.8" x14ac:dyDescent="0.25">
      <c r="A576" s="17">
        <v>27597</v>
      </c>
      <c r="B576" s="8">
        <v>50</v>
      </c>
    </row>
    <row r="577" spans="1:2" ht="13.8" x14ac:dyDescent="0.25">
      <c r="A577" s="17">
        <v>27613</v>
      </c>
      <c r="B577" s="8">
        <v>60</v>
      </c>
    </row>
    <row r="578" spans="1:2" ht="13.8" x14ac:dyDescent="0.25">
      <c r="A578" s="17">
        <v>27622</v>
      </c>
      <c r="B578" s="8">
        <v>68</v>
      </c>
    </row>
    <row r="579" spans="1:2" ht="13.8" x14ac:dyDescent="0.25">
      <c r="A579" s="17">
        <v>27712</v>
      </c>
      <c r="B579" s="8">
        <v>48</v>
      </c>
    </row>
    <row r="580" spans="1:2" ht="13.8" x14ac:dyDescent="0.25">
      <c r="A580" s="17">
        <v>27765</v>
      </c>
      <c r="B580" s="8">
        <v>45</v>
      </c>
    </row>
    <row r="581" spans="1:2" ht="13.8" x14ac:dyDescent="0.25">
      <c r="A581" s="17">
        <v>27796</v>
      </c>
      <c r="B581" s="8">
        <v>83</v>
      </c>
    </row>
    <row r="582" spans="1:2" ht="13.8" x14ac:dyDescent="0.25">
      <c r="A582" s="17">
        <v>27881</v>
      </c>
      <c r="B582" s="8">
        <v>73</v>
      </c>
    </row>
    <row r="583" spans="1:2" ht="13.8" x14ac:dyDescent="0.25">
      <c r="A583" s="17">
        <v>27967</v>
      </c>
      <c r="B583" s="8">
        <v>76</v>
      </c>
    </row>
    <row r="584" spans="1:2" ht="13.8" x14ac:dyDescent="0.25">
      <c r="A584" s="17">
        <v>27986</v>
      </c>
      <c r="B584" s="8">
        <v>85</v>
      </c>
    </row>
    <row r="585" spans="1:2" ht="13.8" x14ac:dyDescent="0.25">
      <c r="A585" s="17">
        <v>28037</v>
      </c>
      <c r="B585" s="8">
        <v>99</v>
      </c>
    </row>
    <row r="586" spans="1:2" ht="13.8" x14ac:dyDescent="0.25">
      <c r="A586" s="17">
        <v>28055</v>
      </c>
      <c r="B586" s="8">
        <v>40</v>
      </c>
    </row>
    <row r="587" spans="1:2" ht="13.8" x14ac:dyDescent="0.25">
      <c r="A587" s="17">
        <v>28066</v>
      </c>
      <c r="B587" s="8">
        <v>95</v>
      </c>
    </row>
    <row r="588" spans="1:2" ht="13.8" x14ac:dyDescent="0.25">
      <c r="A588" s="17">
        <v>28180</v>
      </c>
      <c r="B588" s="8">
        <v>52</v>
      </c>
    </row>
    <row r="589" spans="1:2" ht="13.8" x14ac:dyDescent="0.25">
      <c r="A589" s="17">
        <v>28191</v>
      </c>
      <c r="B589" s="8">
        <v>58</v>
      </c>
    </row>
    <row r="590" spans="1:2" ht="13.8" x14ac:dyDescent="0.25">
      <c r="A590" s="17">
        <v>28247</v>
      </c>
      <c r="B590" s="8">
        <v>76</v>
      </c>
    </row>
    <row r="591" spans="1:2" ht="13.8" x14ac:dyDescent="0.25">
      <c r="A591" s="17">
        <v>28280</v>
      </c>
      <c r="B591" s="8">
        <v>71</v>
      </c>
    </row>
    <row r="592" spans="1:2" ht="13.8" x14ac:dyDescent="0.25">
      <c r="A592" s="17">
        <v>28285</v>
      </c>
      <c r="B592" s="8">
        <v>68</v>
      </c>
    </row>
    <row r="593" spans="1:2" ht="13.8" x14ac:dyDescent="0.25">
      <c r="A593" s="17">
        <v>28330</v>
      </c>
      <c r="B593" s="8">
        <v>79</v>
      </c>
    </row>
    <row r="594" spans="1:2" ht="13.8" x14ac:dyDescent="0.25">
      <c r="A594" s="17">
        <v>28334</v>
      </c>
      <c r="B594" s="8">
        <v>47</v>
      </c>
    </row>
    <row r="595" spans="1:2" ht="13.8" x14ac:dyDescent="0.25">
      <c r="A595" s="17">
        <v>28372</v>
      </c>
      <c r="B595" s="8">
        <v>66</v>
      </c>
    </row>
    <row r="596" spans="1:2" ht="13.8" x14ac:dyDescent="0.25">
      <c r="A596" s="17">
        <v>28431</v>
      </c>
      <c r="B596" s="8">
        <v>81</v>
      </c>
    </row>
    <row r="597" spans="1:2" ht="13.8" x14ac:dyDescent="0.25">
      <c r="A597" s="17">
        <v>28509</v>
      </c>
      <c r="B597" s="8">
        <v>49</v>
      </c>
    </row>
    <row r="598" spans="1:2" ht="13.8" x14ac:dyDescent="0.25">
      <c r="A598" s="17">
        <v>28535</v>
      </c>
      <c r="B598" s="8">
        <v>100</v>
      </c>
    </row>
    <row r="599" spans="1:2" ht="13.8" x14ac:dyDescent="0.25">
      <c r="A599" s="17">
        <v>28582</v>
      </c>
      <c r="B599" s="8">
        <v>73</v>
      </c>
    </row>
    <row r="600" spans="1:2" ht="13.8" x14ac:dyDescent="0.25">
      <c r="A600" s="17">
        <v>28794</v>
      </c>
      <c r="B600" s="8">
        <v>65</v>
      </c>
    </row>
    <row r="601" spans="1:2" ht="13.8" x14ac:dyDescent="0.25">
      <c r="A601" s="17">
        <v>28923</v>
      </c>
      <c r="B601" s="8">
        <v>73</v>
      </c>
    </row>
    <row r="602" spans="1:2" ht="13.8" x14ac:dyDescent="0.25">
      <c r="A602" s="17">
        <v>28945</v>
      </c>
      <c r="B602" s="8">
        <v>90</v>
      </c>
    </row>
    <row r="603" spans="1:2" ht="13.8" x14ac:dyDescent="0.25">
      <c r="A603" s="17">
        <v>28953</v>
      </c>
      <c r="B603" s="8">
        <v>47</v>
      </c>
    </row>
    <row r="604" spans="1:2" ht="13.8" x14ac:dyDescent="0.25">
      <c r="A604" s="17">
        <v>29045</v>
      </c>
      <c r="B604" s="8">
        <v>77</v>
      </c>
    </row>
    <row r="605" spans="1:2" ht="13.8" x14ac:dyDescent="0.25">
      <c r="A605" s="17">
        <v>29112</v>
      </c>
      <c r="B605" s="8">
        <v>97</v>
      </c>
    </row>
    <row r="606" spans="1:2" ht="13.8" x14ac:dyDescent="0.25">
      <c r="A606" s="17">
        <v>29132</v>
      </c>
      <c r="B606" s="8">
        <v>64</v>
      </c>
    </row>
    <row r="607" spans="1:2" ht="13.8" x14ac:dyDescent="0.25">
      <c r="A607" s="17">
        <v>29160</v>
      </c>
      <c r="B607" s="8">
        <v>47</v>
      </c>
    </row>
    <row r="608" spans="1:2" ht="13.8" x14ac:dyDescent="0.25">
      <c r="A608" s="17">
        <v>29174</v>
      </c>
      <c r="B608" s="8">
        <v>94</v>
      </c>
    </row>
    <row r="609" spans="1:2" ht="13.8" x14ac:dyDescent="0.25">
      <c r="A609" s="17">
        <v>29205</v>
      </c>
      <c r="B609" s="8">
        <v>96</v>
      </c>
    </row>
    <row r="610" spans="1:2" ht="13.8" x14ac:dyDescent="0.25">
      <c r="A610" s="17">
        <v>29213</v>
      </c>
      <c r="B610" s="8">
        <v>53</v>
      </c>
    </row>
    <row r="611" spans="1:2" ht="13.8" x14ac:dyDescent="0.25">
      <c r="A611" s="17">
        <v>29351</v>
      </c>
      <c r="B611" s="8">
        <v>62.5</v>
      </c>
    </row>
    <row r="612" spans="1:2" ht="13.8" x14ac:dyDescent="0.25">
      <c r="A612" s="17">
        <v>29353</v>
      </c>
      <c r="B612" s="8">
        <v>46</v>
      </c>
    </row>
    <row r="613" spans="1:2" ht="13.8" x14ac:dyDescent="0.25">
      <c r="A613" s="17">
        <v>29363</v>
      </c>
      <c r="B613" s="8">
        <v>84</v>
      </c>
    </row>
    <row r="614" spans="1:2" ht="13.8" x14ac:dyDescent="0.25">
      <c r="A614" s="17">
        <v>29368</v>
      </c>
      <c r="B614" s="8">
        <v>61</v>
      </c>
    </row>
    <row r="615" spans="1:2" ht="13.8" x14ac:dyDescent="0.25">
      <c r="A615" s="17">
        <v>29412</v>
      </c>
      <c r="B615" s="8">
        <v>77</v>
      </c>
    </row>
    <row r="616" spans="1:2" ht="13.8" x14ac:dyDescent="0.25">
      <c r="A616" s="17">
        <v>29413</v>
      </c>
      <c r="B616" s="8">
        <v>84</v>
      </c>
    </row>
    <row r="617" spans="1:2" ht="13.8" x14ac:dyDescent="0.25">
      <c r="A617" s="17">
        <v>29462</v>
      </c>
      <c r="B617" s="8">
        <v>90</v>
      </c>
    </row>
    <row r="618" spans="1:2" ht="13.8" x14ac:dyDescent="0.25">
      <c r="A618" s="17">
        <v>29477</v>
      </c>
      <c r="B618" s="8">
        <v>48</v>
      </c>
    </row>
    <row r="619" spans="1:2" ht="13.8" x14ac:dyDescent="0.25">
      <c r="A619" s="17">
        <v>29604</v>
      </c>
      <c r="B619" s="8">
        <v>68</v>
      </c>
    </row>
    <row r="620" spans="1:2" ht="13.8" x14ac:dyDescent="0.25">
      <c r="A620" s="17">
        <v>29638</v>
      </c>
      <c r="B620" s="8">
        <v>56</v>
      </c>
    </row>
    <row r="621" spans="1:2" ht="13.8" x14ac:dyDescent="0.25">
      <c r="A621" s="17">
        <v>29664</v>
      </c>
      <c r="B621" s="8">
        <v>51</v>
      </c>
    </row>
    <row r="622" spans="1:2" ht="13.8" x14ac:dyDescent="0.25">
      <c r="A622" s="17">
        <v>29701</v>
      </c>
      <c r="B622" s="8">
        <v>44</v>
      </c>
    </row>
    <row r="623" spans="1:2" ht="13.8" x14ac:dyDescent="0.25">
      <c r="A623" s="17">
        <v>29755</v>
      </c>
      <c r="B623" s="8">
        <v>89</v>
      </c>
    </row>
    <row r="624" spans="1:2" ht="13.8" x14ac:dyDescent="0.25">
      <c r="A624" s="17">
        <v>29838</v>
      </c>
      <c r="B624" s="8">
        <v>99</v>
      </c>
    </row>
    <row r="625" spans="1:2" ht="13.8" x14ac:dyDescent="0.25">
      <c r="A625" s="17">
        <v>29845</v>
      </c>
      <c r="B625" s="8">
        <v>46</v>
      </c>
    </row>
    <row r="626" spans="1:2" ht="13.8" x14ac:dyDescent="0.25">
      <c r="A626" s="17">
        <v>29873</v>
      </c>
      <c r="B626" s="8">
        <v>77</v>
      </c>
    </row>
    <row r="627" spans="1:2" ht="13.8" x14ac:dyDescent="0.25">
      <c r="A627" s="17">
        <v>29881</v>
      </c>
      <c r="B627" s="8">
        <v>53</v>
      </c>
    </row>
    <row r="628" spans="1:2" ht="13.8" x14ac:dyDescent="0.25">
      <c r="A628" s="17">
        <v>29884</v>
      </c>
      <c r="B628" s="8">
        <v>52</v>
      </c>
    </row>
    <row r="629" spans="1:2" ht="13.8" x14ac:dyDescent="0.25">
      <c r="A629" s="17">
        <v>29890</v>
      </c>
      <c r="B629" s="8">
        <v>59</v>
      </c>
    </row>
    <row r="630" spans="1:2" ht="13.8" x14ac:dyDescent="0.25">
      <c r="A630" s="17">
        <v>29929</v>
      </c>
      <c r="B630" s="8">
        <v>51</v>
      </c>
    </row>
    <row r="631" spans="1:2" ht="13.8" x14ac:dyDescent="0.25">
      <c r="A631" s="17">
        <v>29997</v>
      </c>
      <c r="B631" s="8">
        <v>45</v>
      </c>
    </row>
    <row r="632" spans="1:2" ht="13.8" x14ac:dyDescent="0.25">
      <c r="A632" s="17">
        <v>30074</v>
      </c>
      <c r="B632" s="8">
        <v>78</v>
      </c>
    </row>
    <row r="633" spans="1:2" ht="13.8" x14ac:dyDescent="0.25">
      <c r="A633" s="17">
        <v>30116</v>
      </c>
      <c r="B633" s="8">
        <v>63</v>
      </c>
    </row>
    <row r="634" spans="1:2" ht="13.8" x14ac:dyDescent="0.25">
      <c r="A634" s="17">
        <v>30193</v>
      </c>
      <c r="B634" s="8">
        <v>76</v>
      </c>
    </row>
    <row r="635" spans="1:2" ht="13.8" x14ac:dyDescent="0.25">
      <c r="A635" s="17">
        <v>30252</v>
      </c>
      <c r="B635" s="8">
        <v>56</v>
      </c>
    </row>
    <row r="636" spans="1:2" ht="13.8" x14ac:dyDescent="0.25">
      <c r="A636" s="17">
        <v>30385</v>
      </c>
      <c r="B636" s="8">
        <v>48</v>
      </c>
    </row>
    <row r="637" spans="1:2" ht="13.8" x14ac:dyDescent="0.25">
      <c r="A637" s="17">
        <v>30434</v>
      </c>
      <c r="B637" s="8">
        <v>89</v>
      </c>
    </row>
    <row r="638" spans="1:2" ht="13.8" x14ac:dyDescent="0.25">
      <c r="A638" s="17">
        <v>30455</v>
      </c>
      <c r="B638" s="8">
        <v>48</v>
      </c>
    </row>
    <row r="639" spans="1:2" ht="13.8" x14ac:dyDescent="0.25">
      <c r="A639" s="17">
        <v>30493</v>
      </c>
      <c r="B639" s="8">
        <v>49</v>
      </c>
    </row>
    <row r="640" spans="1:2" ht="13.8" x14ac:dyDescent="0.25">
      <c r="A640" s="17">
        <v>30512</v>
      </c>
      <c r="B640" s="8">
        <v>49</v>
      </c>
    </row>
    <row r="641" spans="1:2" ht="13.8" x14ac:dyDescent="0.25">
      <c r="A641" s="17">
        <v>30644</v>
      </c>
      <c r="B641" s="8">
        <v>82</v>
      </c>
    </row>
    <row r="642" spans="1:2" ht="13.8" x14ac:dyDescent="0.25">
      <c r="A642" s="17">
        <v>30659</v>
      </c>
      <c r="B642" s="8">
        <v>95</v>
      </c>
    </row>
    <row r="643" spans="1:2" ht="13.8" x14ac:dyDescent="0.25">
      <c r="A643" s="17">
        <v>30785</v>
      </c>
      <c r="B643" s="8">
        <v>81</v>
      </c>
    </row>
    <row r="644" spans="1:2" ht="13.8" x14ac:dyDescent="0.25">
      <c r="A644" s="17">
        <v>30846</v>
      </c>
      <c r="B644" s="8">
        <v>41</v>
      </c>
    </row>
    <row r="645" spans="1:2" ht="13.8" x14ac:dyDescent="0.25">
      <c r="A645" s="17">
        <v>30955</v>
      </c>
      <c r="B645" s="8">
        <v>42</v>
      </c>
    </row>
    <row r="646" spans="1:2" ht="13.8" x14ac:dyDescent="0.25">
      <c r="A646" s="17">
        <v>31033</v>
      </c>
      <c r="B646" s="8">
        <v>79</v>
      </c>
    </row>
    <row r="647" spans="1:2" ht="13.8" x14ac:dyDescent="0.25">
      <c r="A647" s="17">
        <v>31040</v>
      </c>
      <c r="B647" s="8">
        <v>57</v>
      </c>
    </row>
    <row r="648" spans="1:2" ht="13.8" x14ac:dyDescent="0.25">
      <c r="A648" s="17">
        <v>31072</v>
      </c>
      <c r="B648" s="8">
        <v>90</v>
      </c>
    </row>
    <row r="649" spans="1:2" ht="13.8" x14ac:dyDescent="0.25">
      <c r="A649" s="17">
        <v>31107</v>
      </c>
      <c r="B649" s="8">
        <v>65</v>
      </c>
    </row>
    <row r="650" spans="1:2" ht="13.8" x14ac:dyDescent="0.25">
      <c r="A650" s="17">
        <v>31145</v>
      </c>
      <c r="B650" s="8">
        <v>91</v>
      </c>
    </row>
    <row r="651" spans="1:2" ht="13.8" x14ac:dyDescent="0.25">
      <c r="A651" s="17">
        <v>31172</v>
      </c>
      <c r="B651" s="8">
        <v>51</v>
      </c>
    </row>
    <row r="652" spans="1:2" ht="13.8" x14ac:dyDescent="0.25">
      <c r="A652" s="17">
        <v>31235</v>
      </c>
      <c r="B652" s="8">
        <v>90</v>
      </c>
    </row>
    <row r="653" spans="1:2" ht="13.8" x14ac:dyDescent="0.25">
      <c r="A653" s="17">
        <v>31250</v>
      </c>
      <c r="B653" s="8">
        <v>83</v>
      </c>
    </row>
    <row r="654" spans="1:2" ht="13.8" x14ac:dyDescent="0.25">
      <c r="A654" s="17">
        <v>31308</v>
      </c>
      <c r="B654" s="8">
        <v>89</v>
      </c>
    </row>
    <row r="655" spans="1:2" ht="13.8" x14ac:dyDescent="0.25">
      <c r="A655" s="17">
        <v>31374</v>
      </c>
      <c r="B655" s="8">
        <v>56</v>
      </c>
    </row>
    <row r="656" spans="1:2" ht="13.8" x14ac:dyDescent="0.25">
      <c r="A656" s="17">
        <v>31376</v>
      </c>
      <c r="B656" s="8">
        <v>41</v>
      </c>
    </row>
    <row r="657" spans="1:2" ht="13.8" x14ac:dyDescent="0.25">
      <c r="A657" s="17">
        <v>31423</v>
      </c>
      <c r="B657" s="8">
        <v>58</v>
      </c>
    </row>
    <row r="658" spans="1:2" ht="13.8" x14ac:dyDescent="0.25">
      <c r="A658" s="17">
        <v>31460</v>
      </c>
      <c r="B658" s="8">
        <v>75</v>
      </c>
    </row>
    <row r="659" spans="1:2" ht="13.8" x14ac:dyDescent="0.25">
      <c r="A659" s="17">
        <v>31492</v>
      </c>
      <c r="B659" s="8">
        <v>64</v>
      </c>
    </row>
    <row r="660" spans="1:2" ht="13.8" x14ac:dyDescent="0.25">
      <c r="A660" s="17">
        <v>31499</v>
      </c>
      <c r="B660" s="8">
        <v>42</v>
      </c>
    </row>
    <row r="661" spans="1:2" ht="13.8" x14ac:dyDescent="0.25">
      <c r="A661" s="17">
        <v>31622</v>
      </c>
      <c r="B661" s="8">
        <v>44</v>
      </c>
    </row>
    <row r="662" spans="1:2" ht="13.8" x14ac:dyDescent="0.25">
      <c r="A662" s="17">
        <v>31639</v>
      </c>
      <c r="B662" s="8">
        <v>64</v>
      </c>
    </row>
    <row r="663" spans="1:2" ht="13.8" x14ac:dyDescent="0.25">
      <c r="A663" s="17">
        <v>31685</v>
      </c>
      <c r="B663" s="8">
        <v>85</v>
      </c>
    </row>
    <row r="664" spans="1:2" ht="13.8" x14ac:dyDescent="0.25">
      <c r="A664" s="17">
        <v>31752</v>
      </c>
      <c r="B664" s="8">
        <v>100</v>
      </c>
    </row>
    <row r="665" spans="1:2" ht="13.8" x14ac:dyDescent="0.25">
      <c r="A665" s="17">
        <v>31760</v>
      </c>
      <c r="B665" s="8">
        <v>81</v>
      </c>
    </row>
    <row r="666" spans="1:2" ht="13.8" x14ac:dyDescent="0.25">
      <c r="A666" s="17">
        <v>31786</v>
      </c>
      <c r="B666" s="8">
        <v>56</v>
      </c>
    </row>
    <row r="667" spans="1:2" ht="13.8" x14ac:dyDescent="0.25">
      <c r="A667" s="17">
        <v>31793</v>
      </c>
      <c r="B667" s="8">
        <v>68</v>
      </c>
    </row>
    <row r="668" spans="1:2" ht="13.8" x14ac:dyDescent="0.25">
      <c r="A668" s="17">
        <v>31869</v>
      </c>
      <c r="B668" s="8">
        <v>70</v>
      </c>
    </row>
    <row r="669" spans="1:2" ht="13.8" x14ac:dyDescent="0.25">
      <c r="A669" s="17">
        <v>31897</v>
      </c>
      <c r="B669" s="8">
        <v>71</v>
      </c>
    </row>
    <row r="670" spans="1:2" ht="13.8" x14ac:dyDescent="0.25">
      <c r="A670" s="17">
        <v>31900</v>
      </c>
      <c r="B670" s="8">
        <v>94</v>
      </c>
    </row>
    <row r="671" spans="1:2" ht="13.8" x14ac:dyDescent="0.25">
      <c r="A671" s="17">
        <v>31908</v>
      </c>
      <c r="B671" s="8">
        <v>97</v>
      </c>
    </row>
    <row r="672" spans="1:2" ht="13.8" x14ac:dyDescent="0.25">
      <c r="A672" s="17">
        <v>32002</v>
      </c>
      <c r="B672" s="8">
        <v>50</v>
      </c>
    </row>
    <row r="673" spans="1:2" ht="13.8" x14ac:dyDescent="0.25">
      <c r="A673" s="17">
        <v>32076</v>
      </c>
      <c r="B673" s="8">
        <v>49</v>
      </c>
    </row>
    <row r="674" spans="1:2" ht="13.8" x14ac:dyDescent="0.25">
      <c r="A674" s="17">
        <v>32080</v>
      </c>
      <c r="B674" s="8">
        <v>63</v>
      </c>
    </row>
    <row r="675" spans="1:2" ht="13.8" x14ac:dyDescent="0.25">
      <c r="A675" s="17">
        <v>32143</v>
      </c>
      <c r="B675" s="8">
        <v>65</v>
      </c>
    </row>
    <row r="676" spans="1:2" ht="13.8" x14ac:dyDescent="0.25">
      <c r="A676" s="17">
        <v>32174</v>
      </c>
      <c r="B676" s="8">
        <v>82</v>
      </c>
    </row>
    <row r="677" spans="1:2" ht="13.8" x14ac:dyDescent="0.25">
      <c r="A677" s="17">
        <v>32178</v>
      </c>
      <c r="B677" s="8">
        <v>66</v>
      </c>
    </row>
    <row r="678" spans="1:2" ht="13.8" x14ac:dyDescent="0.25">
      <c r="A678" s="17">
        <v>32258</v>
      </c>
      <c r="B678" s="8">
        <v>74</v>
      </c>
    </row>
    <row r="679" spans="1:2" ht="13.8" x14ac:dyDescent="0.25">
      <c r="A679" s="17">
        <v>32375</v>
      </c>
      <c r="B679" s="8">
        <v>50</v>
      </c>
    </row>
    <row r="680" spans="1:2" ht="13.8" x14ac:dyDescent="0.25">
      <c r="A680" s="17">
        <v>32431</v>
      </c>
      <c r="B680" s="8">
        <v>94</v>
      </c>
    </row>
    <row r="681" spans="1:2" ht="13.8" x14ac:dyDescent="0.25">
      <c r="A681" s="17">
        <v>32436</v>
      </c>
      <c r="B681" s="8">
        <v>91</v>
      </c>
    </row>
    <row r="682" spans="1:2" ht="13.8" x14ac:dyDescent="0.25">
      <c r="A682" s="17">
        <v>32442</v>
      </c>
      <c r="B682" s="8">
        <v>68</v>
      </c>
    </row>
    <row r="683" spans="1:2" ht="13.8" x14ac:dyDescent="0.25">
      <c r="A683" s="17">
        <v>32510</v>
      </c>
      <c r="B683" s="8">
        <v>68</v>
      </c>
    </row>
    <row r="684" spans="1:2" ht="13.8" x14ac:dyDescent="0.25">
      <c r="A684" s="17">
        <v>32571</v>
      </c>
      <c r="B684" s="8">
        <v>69</v>
      </c>
    </row>
    <row r="685" spans="1:2" ht="13.8" x14ac:dyDescent="0.25">
      <c r="A685" s="17">
        <v>32638</v>
      </c>
      <c r="B685" s="8">
        <v>53</v>
      </c>
    </row>
    <row r="686" spans="1:2" ht="13.8" x14ac:dyDescent="0.25">
      <c r="A686" s="17">
        <v>32665</v>
      </c>
      <c r="B686" s="8">
        <v>66</v>
      </c>
    </row>
    <row r="687" spans="1:2" ht="13.8" x14ac:dyDescent="0.25">
      <c r="A687" s="17">
        <v>32668</v>
      </c>
      <c r="B687" s="8">
        <v>84</v>
      </c>
    </row>
    <row r="688" spans="1:2" ht="13.8" x14ac:dyDescent="0.25">
      <c r="A688" s="17">
        <v>32669</v>
      </c>
      <c r="B688" s="8">
        <v>77</v>
      </c>
    </row>
    <row r="689" spans="1:2" ht="13.8" x14ac:dyDescent="0.25">
      <c r="A689" s="17">
        <v>32680</v>
      </c>
      <c r="B689" s="8">
        <v>85</v>
      </c>
    </row>
    <row r="690" spans="1:2" ht="13.8" x14ac:dyDescent="0.25">
      <c r="A690" s="17">
        <v>32698</v>
      </c>
      <c r="B690" s="8">
        <v>58</v>
      </c>
    </row>
    <row r="691" spans="1:2" ht="13.8" x14ac:dyDescent="0.25">
      <c r="A691" s="17">
        <v>32778</v>
      </c>
      <c r="B691" s="8">
        <v>60</v>
      </c>
    </row>
    <row r="692" spans="1:2" ht="13.8" x14ac:dyDescent="0.25">
      <c r="A692" s="17">
        <v>32794</v>
      </c>
      <c r="B692" s="8">
        <v>74</v>
      </c>
    </row>
    <row r="693" spans="1:2" ht="13.8" x14ac:dyDescent="0.25">
      <c r="A693" s="17">
        <v>32877</v>
      </c>
      <c r="B693" s="8">
        <v>74</v>
      </c>
    </row>
    <row r="694" spans="1:2" ht="13.8" x14ac:dyDescent="0.25">
      <c r="A694" s="17">
        <v>32914</v>
      </c>
      <c r="B694" s="8">
        <v>40</v>
      </c>
    </row>
    <row r="695" spans="1:2" ht="13.8" x14ac:dyDescent="0.25">
      <c r="A695" s="17">
        <v>32928</v>
      </c>
      <c r="B695" s="8">
        <v>95</v>
      </c>
    </row>
    <row r="696" spans="1:2" ht="13.8" x14ac:dyDescent="0.25">
      <c r="A696" s="17">
        <v>32940</v>
      </c>
      <c r="B696" s="8">
        <v>52</v>
      </c>
    </row>
    <row r="697" spans="1:2" ht="13.8" x14ac:dyDescent="0.25">
      <c r="A697" s="17">
        <v>33003</v>
      </c>
      <c r="B697" s="8">
        <v>76</v>
      </c>
    </row>
    <row r="698" spans="1:2" ht="13.8" x14ac:dyDescent="0.25">
      <c r="A698" s="17">
        <v>33040</v>
      </c>
      <c r="B698" s="8">
        <v>92</v>
      </c>
    </row>
    <row r="699" spans="1:2" ht="13.8" x14ac:dyDescent="0.25">
      <c r="A699" s="17">
        <v>33055</v>
      </c>
      <c r="B699" s="8">
        <v>88</v>
      </c>
    </row>
    <row r="700" spans="1:2" ht="13.8" x14ac:dyDescent="0.25">
      <c r="A700" s="17">
        <v>33068</v>
      </c>
      <c r="B700" s="8">
        <v>82</v>
      </c>
    </row>
    <row r="701" spans="1:2" ht="13.8" x14ac:dyDescent="0.25">
      <c r="A701" s="17">
        <v>33084</v>
      </c>
      <c r="B701" s="8">
        <v>42</v>
      </c>
    </row>
    <row r="702" spans="1:2" ht="13.8" x14ac:dyDescent="0.25">
      <c r="A702" s="17">
        <v>33092</v>
      </c>
      <c r="B702" s="8">
        <v>96</v>
      </c>
    </row>
    <row r="703" spans="1:2" ht="13.8" x14ac:dyDescent="0.25">
      <c r="A703" s="17">
        <v>33152</v>
      </c>
      <c r="B703" s="8">
        <v>49</v>
      </c>
    </row>
    <row r="704" spans="1:2" ht="13.8" x14ac:dyDescent="0.25">
      <c r="A704" s="17">
        <v>33154</v>
      </c>
      <c r="B704" s="8">
        <v>78</v>
      </c>
    </row>
    <row r="705" spans="1:2" ht="13.8" x14ac:dyDescent="0.25">
      <c r="A705" s="17">
        <v>33242</v>
      </c>
      <c r="B705" s="8">
        <v>67</v>
      </c>
    </row>
    <row r="706" spans="1:2" ht="13.8" x14ac:dyDescent="0.25">
      <c r="A706" s="17">
        <v>33312</v>
      </c>
      <c r="B706" s="8">
        <v>57</v>
      </c>
    </row>
    <row r="707" spans="1:2" ht="13.8" x14ac:dyDescent="0.25">
      <c r="A707" s="17">
        <v>33335</v>
      </c>
      <c r="B707" s="8">
        <v>70</v>
      </c>
    </row>
    <row r="708" spans="1:2" ht="13.8" x14ac:dyDescent="0.25">
      <c r="A708" s="17">
        <v>33338</v>
      </c>
      <c r="B708" s="8">
        <v>64</v>
      </c>
    </row>
    <row r="709" spans="1:2" ht="13.8" x14ac:dyDescent="0.25">
      <c r="A709" s="17">
        <v>33350</v>
      </c>
      <c r="B709" s="8">
        <v>48</v>
      </c>
    </row>
    <row r="710" spans="1:2" ht="13.8" x14ac:dyDescent="0.25">
      <c r="A710" s="17">
        <v>33368</v>
      </c>
      <c r="B710" s="8">
        <v>41</v>
      </c>
    </row>
    <row r="711" spans="1:2" ht="13.8" x14ac:dyDescent="0.25">
      <c r="A711" s="17">
        <v>33416</v>
      </c>
      <c r="B711" s="8">
        <v>86</v>
      </c>
    </row>
    <row r="712" spans="1:2" ht="13.8" x14ac:dyDescent="0.25">
      <c r="A712" s="17">
        <v>33459</v>
      </c>
      <c r="B712" s="8">
        <v>51</v>
      </c>
    </row>
    <row r="713" spans="1:2" ht="13.8" x14ac:dyDescent="0.25">
      <c r="A713" s="17">
        <v>33480</v>
      </c>
      <c r="B713" s="8">
        <v>63</v>
      </c>
    </row>
    <row r="714" spans="1:2" ht="13.8" x14ac:dyDescent="0.25">
      <c r="A714" s="17">
        <v>33571</v>
      </c>
      <c r="B714" s="8">
        <v>99</v>
      </c>
    </row>
    <row r="715" spans="1:2" ht="13.8" x14ac:dyDescent="0.25">
      <c r="A715" s="17">
        <v>33708</v>
      </c>
      <c r="B715" s="8">
        <v>85</v>
      </c>
    </row>
    <row r="716" spans="1:2" ht="13.8" x14ac:dyDescent="0.25">
      <c r="A716" s="17">
        <v>33833</v>
      </c>
      <c r="B716" s="8">
        <v>65</v>
      </c>
    </row>
    <row r="717" spans="1:2" ht="13.8" x14ac:dyDescent="0.25">
      <c r="A717" s="17">
        <v>33847</v>
      </c>
      <c r="B717" s="8">
        <v>40</v>
      </c>
    </row>
    <row r="718" spans="1:2" ht="13.8" x14ac:dyDescent="0.25">
      <c r="A718" s="17">
        <v>33970</v>
      </c>
      <c r="B718" s="8">
        <v>79</v>
      </c>
    </row>
    <row r="719" spans="1:2" ht="13.8" x14ac:dyDescent="0.25">
      <c r="A719" s="17">
        <v>34026</v>
      </c>
      <c r="B719" s="8">
        <v>40</v>
      </c>
    </row>
    <row r="720" spans="1:2" ht="13.8" x14ac:dyDescent="0.25">
      <c r="A720" s="17">
        <v>34054</v>
      </c>
      <c r="B720" s="8">
        <v>71</v>
      </c>
    </row>
    <row r="721" spans="1:2" ht="13.8" x14ac:dyDescent="0.25">
      <c r="A721" s="17">
        <v>34071</v>
      </c>
      <c r="B721" s="8">
        <v>73</v>
      </c>
    </row>
    <row r="722" spans="1:2" ht="13.8" x14ac:dyDescent="0.25">
      <c r="A722" s="17">
        <v>34086</v>
      </c>
      <c r="B722" s="8">
        <v>75</v>
      </c>
    </row>
    <row r="723" spans="1:2" ht="13.8" x14ac:dyDescent="0.25">
      <c r="A723" s="17">
        <v>34098</v>
      </c>
      <c r="B723" s="8">
        <v>63</v>
      </c>
    </row>
    <row r="724" spans="1:2" ht="13.8" x14ac:dyDescent="0.25">
      <c r="A724" s="17">
        <v>34116</v>
      </c>
      <c r="B724" s="8">
        <v>97</v>
      </c>
    </row>
    <row r="725" spans="1:2" ht="13.8" x14ac:dyDescent="0.25">
      <c r="A725" s="17">
        <v>34191</v>
      </c>
      <c r="B725" s="8">
        <v>85</v>
      </c>
    </row>
    <row r="726" spans="1:2" ht="13.8" x14ac:dyDescent="0.25">
      <c r="A726" s="17">
        <v>34202</v>
      </c>
      <c r="B726" s="8">
        <v>88</v>
      </c>
    </row>
    <row r="727" spans="1:2" ht="13.8" x14ac:dyDescent="0.25">
      <c r="A727" s="17">
        <v>34247</v>
      </c>
      <c r="B727" s="8">
        <v>84</v>
      </c>
    </row>
    <row r="728" spans="1:2" ht="13.8" x14ac:dyDescent="0.25">
      <c r="A728" s="17">
        <v>34314</v>
      </c>
      <c r="B728" s="8">
        <v>69</v>
      </c>
    </row>
    <row r="729" spans="1:2" ht="13.8" x14ac:dyDescent="0.25">
      <c r="A729" s="17">
        <v>34377</v>
      </c>
      <c r="B729" s="8">
        <v>93</v>
      </c>
    </row>
    <row r="730" spans="1:2" ht="13.8" x14ac:dyDescent="0.25">
      <c r="A730" s="17">
        <v>34411</v>
      </c>
      <c r="B730" s="8">
        <v>42</v>
      </c>
    </row>
    <row r="731" spans="1:2" ht="13.8" x14ac:dyDescent="0.25">
      <c r="A731" s="17">
        <v>34435</v>
      </c>
      <c r="B731" s="8">
        <v>81</v>
      </c>
    </row>
    <row r="732" spans="1:2" ht="13.8" x14ac:dyDescent="0.25">
      <c r="A732" s="17">
        <v>34473</v>
      </c>
      <c r="B732" s="8">
        <v>61</v>
      </c>
    </row>
    <row r="733" spans="1:2" ht="13.8" x14ac:dyDescent="0.25">
      <c r="A733" s="17">
        <v>34481</v>
      </c>
      <c r="B733" s="8">
        <v>60</v>
      </c>
    </row>
    <row r="734" spans="1:2" ht="13.8" x14ac:dyDescent="0.25">
      <c r="A734" s="17">
        <v>34510</v>
      </c>
      <c r="B734" s="8">
        <v>45</v>
      </c>
    </row>
    <row r="735" spans="1:2" ht="13.8" x14ac:dyDescent="0.25">
      <c r="A735" s="17">
        <v>34628</v>
      </c>
      <c r="B735" s="8">
        <v>71</v>
      </c>
    </row>
    <row r="736" spans="1:2" ht="13.8" x14ac:dyDescent="0.25">
      <c r="A736" s="17">
        <v>34666</v>
      </c>
      <c r="B736" s="8">
        <v>68</v>
      </c>
    </row>
    <row r="737" spans="1:2" ht="13.8" x14ac:dyDescent="0.25">
      <c r="A737" s="17">
        <v>34702</v>
      </c>
      <c r="B737" s="8">
        <v>57</v>
      </c>
    </row>
    <row r="738" spans="1:2" ht="13.8" x14ac:dyDescent="0.25">
      <c r="A738" s="17">
        <v>34770</v>
      </c>
      <c r="B738" s="8">
        <v>51</v>
      </c>
    </row>
    <row r="739" spans="1:2" ht="13.8" x14ac:dyDescent="0.25">
      <c r="A739" s="17">
        <v>34786</v>
      </c>
      <c r="B739" s="8">
        <v>81</v>
      </c>
    </row>
    <row r="740" spans="1:2" ht="13.8" x14ac:dyDescent="0.25">
      <c r="A740" s="17">
        <v>34872</v>
      </c>
      <c r="B740" s="8">
        <v>70</v>
      </c>
    </row>
    <row r="741" spans="1:2" ht="13.8" x14ac:dyDescent="0.25">
      <c r="A741" s="17">
        <v>35072</v>
      </c>
      <c r="B741" s="8">
        <v>76</v>
      </c>
    </row>
    <row r="742" spans="1:2" ht="13.8" x14ac:dyDescent="0.25">
      <c r="A742" s="17">
        <v>35204</v>
      </c>
      <c r="B742" s="8">
        <v>42</v>
      </c>
    </row>
    <row r="743" spans="1:2" ht="13.8" x14ac:dyDescent="0.25">
      <c r="A743" s="17">
        <v>35207</v>
      </c>
      <c r="B743" s="8">
        <v>96</v>
      </c>
    </row>
    <row r="744" spans="1:2" ht="13.8" x14ac:dyDescent="0.25">
      <c r="A744" s="17">
        <v>35267</v>
      </c>
      <c r="B744" s="8">
        <v>70</v>
      </c>
    </row>
    <row r="745" spans="1:2" ht="13.8" x14ac:dyDescent="0.25">
      <c r="A745" s="17">
        <v>35296</v>
      </c>
      <c r="B745" s="8">
        <v>96</v>
      </c>
    </row>
    <row r="746" spans="1:2" ht="13.8" x14ac:dyDescent="0.25">
      <c r="A746" s="17">
        <v>35477</v>
      </c>
      <c r="B746" s="8">
        <v>58</v>
      </c>
    </row>
    <row r="747" spans="1:2" ht="13.8" x14ac:dyDescent="0.25">
      <c r="A747" s="17">
        <v>35520</v>
      </c>
      <c r="B747" s="8">
        <v>60</v>
      </c>
    </row>
    <row r="748" spans="1:2" ht="13.8" x14ac:dyDescent="0.25">
      <c r="A748" s="17">
        <v>35626</v>
      </c>
      <c r="B748" s="8">
        <v>81</v>
      </c>
    </row>
    <row r="749" spans="1:2" ht="13.8" x14ac:dyDescent="0.25">
      <c r="A749" s="17">
        <v>35726</v>
      </c>
      <c r="B749" s="8">
        <v>55</v>
      </c>
    </row>
    <row r="750" spans="1:2" ht="13.8" x14ac:dyDescent="0.25">
      <c r="A750" s="17">
        <v>35753</v>
      </c>
      <c r="B750" s="8">
        <v>67</v>
      </c>
    </row>
    <row r="751" spans="1:2" ht="13.8" x14ac:dyDescent="0.25">
      <c r="A751" s="17">
        <v>35779</v>
      </c>
      <c r="B751" s="8">
        <v>62</v>
      </c>
    </row>
    <row r="752" spans="1:2" ht="13.8" x14ac:dyDescent="0.25">
      <c r="A752" s="17">
        <v>35830</v>
      </c>
      <c r="B752" s="8">
        <v>46</v>
      </c>
    </row>
    <row r="753" spans="1:2" ht="13.8" x14ac:dyDescent="0.25">
      <c r="A753" s="17">
        <v>35890</v>
      </c>
      <c r="B753" s="8">
        <v>68</v>
      </c>
    </row>
    <row r="754" spans="1:2" ht="13.8" x14ac:dyDescent="0.25">
      <c r="A754" s="17">
        <v>35939</v>
      </c>
      <c r="B754" s="8">
        <v>95</v>
      </c>
    </row>
    <row r="755" spans="1:2" ht="13.8" x14ac:dyDescent="0.25">
      <c r="A755" s="17">
        <v>35947</v>
      </c>
      <c r="B755" s="8">
        <v>66</v>
      </c>
    </row>
    <row r="756" spans="1:2" ht="13.8" x14ac:dyDescent="0.25">
      <c r="A756" s="17">
        <v>35971</v>
      </c>
      <c r="B756" s="8">
        <v>76</v>
      </c>
    </row>
    <row r="757" spans="1:2" ht="13.8" x14ac:dyDescent="0.25">
      <c r="A757" s="17">
        <v>36108</v>
      </c>
      <c r="B757" s="8">
        <v>55</v>
      </c>
    </row>
    <row r="758" spans="1:2" ht="13.8" x14ac:dyDescent="0.25">
      <c r="A758" s="17">
        <v>36192</v>
      </c>
      <c r="B758" s="8">
        <v>53</v>
      </c>
    </row>
    <row r="759" spans="1:2" ht="13.8" x14ac:dyDescent="0.25">
      <c r="A759" s="17">
        <v>36311</v>
      </c>
      <c r="B759" s="8">
        <v>99</v>
      </c>
    </row>
    <row r="760" spans="1:2" ht="13.8" x14ac:dyDescent="0.25">
      <c r="A760" s="17">
        <v>36358</v>
      </c>
      <c r="B760" s="8">
        <v>88</v>
      </c>
    </row>
    <row r="761" spans="1:2" ht="13.8" x14ac:dyDescent="0.25">
      <c r="A761" s="17">
        <v>36369</v>
      </c>
      <c r="B761" s="8">
        <v>57</v>
      </c>
    </row>
    <row r="762" spans="1:2" ht="13.8" x14ac:dyDescent="0.25">
      <c r="A762" s="17">
        <v>36396</v>
      </c>
      <c r="B762" s="8">
        <v>77</v>
      </c>
    </row>
    <row r="763" spans="1:2" ht="13.8" x14ac:dyDescent="0.25">
      <c r="A763" s="17">
        <v>36539</v>
      </c>
      <c r="B763" s="8">
        <v>92</v>
      </c>
    </row>
    <row r="764" spans="1:2" ht="13.8" x14ac:dyDescent="0.25">
      <c r="A764" s="17">
        <v>36624</v>
      </c>
      <c r="B764" s="8">
        <v>69</v>
      </c>
    </row>
    <row r="765" spans="1:2" ht="13.8" x14ac:dyDescent="0.25">
      <c r="A765" s="17">
        <v>36630</v>
      </c>
      <c r="B765" s="8">
        <v>61</v>
      </c>
    </row>
    <row r="766" spans="1:2" ht="13.8" x14ac:dyDescent="0.25">
      <c r="A766" s="17">
        <v>36653</v>
      </c>
      <c r="B766" s="8">
        <v>63</v>
      </c>
    </row>
    <row r="767" spans="1:2" ht="13.8" x14ac:dyDescent="0.25">
      <c r="A767" s="17">
        <v>36679</v>
      </c>
      <c r="B767" s="8">
        <v>59</v>
      </c>
    </row>
    <row r="768" spans="1:2" ht="13.8" x14ac:dyDescent="0.25">
      <c r="A768" s="17">
        <v>36694</v>
      </c>
      <c r="B768" s="8">
        <v>56</v>
      </c>
    </row>
    <row r="769" spans="1:2" ht="13.8" x14ac:dyDescent="0.25">
      <c r="A769" s="17">
        <v>36722</v>
      </c>
      <c r="B769" s="8">
        <v>70</v>
      </c>
    </row>
    <row r="770" spans="1:2" ht="13.8" x14ac:dyDescent="0.25">
      <c r="A770" s="17">
        <v>36766</v>
      </c>
      <c r="B770" s="8">
        <v>68.5</v>
      </c>
    </row>
    <row r="771" spans="1:2" ht="13.8" x14ac:dyDescent="0.25">
      <c r="A771" s="17">
        <v>36784</v>
      </c>
      <c r="B771" s="8">
        <v>85</v>
      </c>
    </row>
    <row r="772" spans="1:2" ht="13.8" x14ac:dyDescent="0.25">
      <c r="A772" s="17">
        <v>36801</v>
      </c>
      <c r="B772" s="8">
        <v>90</v>
      </c>
    </row>
    <row r="773" spans="1:2" ht="13.8" x14ac:dyDescent="0.25">
      <c r="A773" s="17">
        <v>36831</v>
      </c>
      <c r="B773" s="8">
        <v>91</v>
      </c>
    </row>
    <row r="774" spans="1:2" ht="13.8" x14ac:dyDescent="0.25">
      <c r="A774" s="17">
        <v>36858</v>
      </c>
      <c r="B774" s="8">
        <v>80</v>
      </c>
    </row>
    <row r="775" spans="1:2" ht="13.8" x14ac:dyDescent="0.25">
      <c r="A775" s="17">
        <v>37030</v>
      </c>
      <c r="B775" s="8">
        <v>97</v>
      </c>
    </row>
    <row r="776" spans="1:2" ht="13.8" x14ac:dyDescent="0.25">
      <c r="A776" s="17">
        <v>37034</v>
      </c>
      <c r="B776" s="8">
        <v>69</v>
      </c>
    </row>
    <row r="777" spans="1:2" ht="13.8" x14ac:dyDescent="0.25">
      <c r="A777" s="17">
        <v>37037</v>
      </c>
      <c r="B777" s="8">
        <v>61</v>
      </c>
    </row>
    <row r="778" spans="1:2" ht="13.8" x14ac:dyDescent="0.25">
      <c r="A778" s="17">
        <v>37156</v>
      </c>
      <c r="B778" s="8">
        <v>91</v>
      </c>
    </row>
    <row r="779" spans="1:2" ht="13.8" x14ac:dyDescent="0.25">
      <c r="A779" s="17">
        <v>37157</v>
      </c>
      <c r="B779" s="8">
        <v>53</v>
      </c>
    </row>
    <row r="780" spans="1:2" ht="13.8" x14ac:dyDescent="0.25">
      <c r="A780" s="17">
        <v>37206</v>
      </c>
      <c r="B780" s="8">
        <v>42</v>
      </c>
    </row>
    <row r="781" spans="1:2" ht="13.8" x14ac:dyDescent="0.25">
      <c r="A781" s="17">
        <v>37209</v>
      </c>
      <c r="B781" s="8">
        <v>76</v>
      </c>
    </row>
    <row r="782" spans="1:2" ht="13.8" x14ac:dyDescent="0.25">
      <c r="A782" s="17">
        <v>37280</v>
      </c>
      <c r="B782" s="8">
        <v>52</v>
      </c>
    </row>
    <row r="783" spans="1:2" ht="13.8" x14ac:dyDescent="0.25">
      <c r="A783" s="17">
        <v>37325</v>
      </c>
      <c r="B783" s="8">
        <v>98</v>
      </c>
    </row>
    <row r="784" spans="1:2" ht="13.8" x14ac:dyDescent="0.25">
      <c r="A784" s="17">
        <v>37403</v>
      </c>
      <c r="B784" s="8">
        <v>87</v>
      </c>
    </row>
    <row r="785" spans="1:2" ht="13.8" x14ac:dyDescent="0.25">
      <c r="A785" s="17">
        <v>37451</v>
      </c>
      <c r="B785" s="8">
        <v>88</v>
      </c>
    </row>
    <row r="786" spans="1:2" ht="13.8" x14ac:dyDescent="0.25">
      <c r="A786" s="17">
        <v>37476</v>
      </c>
      <c r="B786" s="8">
        <v>47</v>
      </c>
    </row>
    <row r="787" spans="1:2" ht="13.8" x14ac:dyDescent="0.25">
      <c r="A787" s="17">
        <v>37557</v>
      </c>
      <c r="B787" s="8">
        <v>85</v>
      </c>
    </row>
    <row r="788" spans="1:2" ht="13.8" x14ac:dyDescent="0.25">
      <c r="A788" s="17">
        <v>37601</v>
      </c>
      <c r="B788" s="8">
        <v>43</v>
      </c>
    </row>
    <row r="789" spans="1:2" ht="13.8" x14ac:dyDescent="0.25">
      <c r="A789" s="17">
        <v>37797</v>
      </c>
      <c r="B789" s="8">
        <v>44</v>
      </c>
    </row>
    <row r="790" spans="1:2" ht="13.8" x14ac:dyDescent="0.25">
      <c r="A790" s="17">
        <v>37839</v>
      </c>
      <c r="B790" s="8">
        <v>96</v>
      </c>
    </row>
    <row r="791" spans="1:2" ht="13.8" x14ac:dyDescent="0.25">
      <c r="A791" s="17">
        <v>37841</v>
      </c>
      <c r="B791" s="8">
        <v>77</v>
      </c>
    </row>
    <row r="792" spans="1:2" ht="13.8" x14ac:dyDescent="0.25">
      <c r="A792" s="17">
        <v>37967</v>
      </c>
      <c r="B792" s="8">
        <v>48</v>
      </c>
    </row>
    <row r="793" spans="1:2" ht="13.8" x14ac:dyDescent="0.25">
      <c r="A793" s="17">
        <v>37978</v>
      </c>
      <c r="B793" s="8">
        <v>62</v>
      </c>
    </row>
    <row r="794" spans="1:2" ht="13.8" x14ac:dyDescent="0.25">
      <c r="A794" s="17">
        <v>38098</v>
      </c>
      <c r="B794" s="8">
        <v>93</v>
      </c>
    </row>
    <row r="795" spans="1:2" ht="13.8" x14ac:dyDescent="0.25">
      <c r="A795" s="17">
        <v>38183</v>
      </c>
      <c r="B795" s="8">
        <v>81</v>
      </c>
    </row>
    <row r="796" spans="1:2" ht="13.8" x14ac:dyDescent="0.25">
      <c r="A796" s="17">
        <v>38214</v>
      </c>
      <c r="B796" s="8">
        <v>60</v>
      </c>
    </row>
    <row r="797" spans="1:2" ht="13.8" x14ac:dyDescent="0.25">
      <c r="A797" s="17">
        <v>38238</v>
      </c>
      <c r="B797" s="8">
        <v>95</v>
      </c>
    </row>
    <row r="798" spans="1:2" ht="13.8" x14ac:dyDescent="0.25">
      <c r="A798" s="17">
        <v>38389</v>
      </c>
      <c r="B798" s="8">
        <v>83</v>
      </c>
    </row>
    <row r="799" spans="1:2" ht="13.8" x14ac:dyDescent="0.25">
      <c r="A799" s="17">
        <v>38397</v>
      </c>
      <c r="B799" s="8">
        <v>45</v>
      </c>
    </row>
    <row r="800" spans="1:2" ht="13.8" x14ac:dyDescent="0.25">
      <c r="A800" s="17">
        <v>38416</v>
      </c>
      <c r="B800" s="8">
        <v>74</v>
      </c>
    </row>
    <row r="801" spans="1:2" ht="13.8" x14ac:dyDescent="0.25">
      <c r="A801" s="17">
        <v>38468</v>
      </c>
      <c r="B801" s="8">
        <v>53</v>
      </c>
    </row>
    <row r="802" spans="1:2" ht="13.8" x14ac:dyDescent="0.25">
      <c r="A802" s="17">
        <v>38489</v>
      </c>
      <c r="B802" s="8">
        <v>72</v>
      </c>
    </row>
    <row r="803" spans="1:2" ht="13.8" x14ac:dyDescent="0.25">
      <c r="A803" s="17">
        <v>38563</v>
      </c>
      <c r="B803" s="8">
        <v>49</v>
      </c>
    </row>
    <row r="804" spans="1:2" ht="13.8" x14ac:dyDescent="0.25">
      <c r="A804" s="17">
        <v>38631</v>
      </c>
      <c r="B804" s="8">
        <v>48</v>
      </c>
    </row>
    <row r="805" spans="1:2" ht="13.8" x14ac:dyDescent="0.25">
      <c r="A805" s="17">
        <v>38663</v>
      </c>
      <c r="B805" s="8">
        <v>56</v>
      </c>
    </row>
    <row r="806" spans="1:2" ht="13.8" x14ac:dyDescent="0.25">
      <c r="A806" s="17">
        <v>38693</v>
      </c>
      <c r="B806" s="8">
        <v>79</v>
      </c>
    </row>
    <row r="807" spans="1:2" ht="13.8" x14ac:dyDescent="0.25">
      <c r="A807" s="17">
        <v>38735</v>
      </c>
      <c r="B807" s="8">
        <v>95</v>
      </c>
    </row>
    <row r="808" spans="1:2" ht="13.8" x14ac:dyDescent="0.25">
      <c r="A808" s="17">
        <v>38769</v>
      </c>
      <c r="B808" s="8">
        <v>89</v>
      </c>
    </row>
    <row r="809" spans="1:2" ht="13.8" x14ac:dyDescent="0.25">
      <c r="A809" s="17">
        <v>38812</v>
      </c>
      <c r="B809" s="8">
        <v>75</v>
      </c>
    </row>
    <row r="810" spans="1:2" ht="13.8" x14ac:dyDescent="0.25">
      <c r="A810" s="17">
        <v>38856</v>
      </c>
      <c r="B810" s="8">
        <v>95</v>
      </c>
    </row>
    <row r="811" spans="1:2" ht="13.8" x14ac:dyDescent="0.25">
      <c r="A811" s="17">
        <v>38858</v>
      </c>
      <c r="B811" s="8">
        <v>59</v>
      </c>
    </row>
    <row r="812" spans="1:2" ht="13.8" x14ac:dyDescent="0.25">
      <c r="A812" s="17">
        <v>38893</v>
      </c>
      <c r="B812" s="8">
        <v>52</v>
      </c>
    </row>
    <row r="813" spans="1:2" ht="13.8" x14ac:dyDescent="0.25">
      <c r="A813" s="17">
        <v>38918</v>
      </c>
      <c r="B813" s="8">
        <v>43</v>
      </c>
    </row>
    <row r="814" spans="1:2" ht="13.8" x14ac:dyDescent="0.25">
      <c r="A814" s="17">
        <v>38972</v>
      </c>
      <c r="B814" s="8">
        <v>59</v>
      </c>
    </row>
    <row r="815" spans="1:2" ht="13.8" x14ac:dyDescent="0.25">
      <c r="A815" s="17">
        <v>39011</v>
      </c>
      <c r="B815" s="8">
        <v>47</v>
      </c>
    </row>
    <row r="816" spans="1:2" ht="13.8" x14ac:dyDescent="0.25">
      <c r="A816" s="17">
        <v>39034</v>
      </c>
      <c r="B816" s="8">
        <v>78</v>
      </c>
    </row>
    <row r="817" spans="1:2" ht="13.8" x14ac:dyDescent="0.25">
      <c r="A817" s="17">
        <v>39160</v>
      </c>
      <c r="B817" s="8">
        <v>61</v>
      </c>
    </row>
    <row r="818" spans="1:2" ht="13.8" x14ac:dyDescent="0.25">
      <c r="A818" s="17">
        <v>39197</v>
      </c>
      <c r="B818" s="8">
        <v>60</v>
      </c>
    </row>
    <row r="819" spans="1:2" ht="13.8" x14ac:dyDescent="0.25">
      <c r="A819" s="17">
        <v>39229</v>
      </c>
      <c r="B819" s="8">
        <v>55</v>
      </c>
    </row>
    <row r="820" spans="1:2" ht="13.8" x14ac:dyDescent="0.25">
      <c r="A820" s="17">
        <v>39309</v>
      </c>
      <c r="B820" s="8">
        <v>78</v>
      </c>
    </row>
    <row r="821" spans="1:2" ht="13.8" x14ac:dyDescent="0.25">
      <c r="A821" s="17">
        <v>39336</v>
      </c>
      <c r="B821" s="8">
        <v>94</v>
      </c>
    </row>
    <row r="822" spans="1:2" ht="13.8" x14ac:dyDescent="0.25">
      <c r="A822" s="17">
        <v>39390</v>
      </c>
      <c r="B822" s="8">
        <v>90</v>
      </c>
    </row>
    <row r="823" spans="1:2" ht="13.8" x14ac:dyDescent="0.25">
      <c r="A823" s="17">
        <v>39535</v>
      </c>
      <c r="B823" s="8">
        <v>70</v>
      </c>
    </row>
    <row r="824" spans="1:2" ht="13.8" x14ac:dyDescent="0.25">
      <c r="A824" s="17">
        <v>39541</v>
      </c>
      <c r="B824" s="8">
        <v>96</v>
      </c>
    </row>
    <row r="825" spans="1:2" ht="13.8" x14ac:dyDescent="0.25">
      <c r="A825" s="17">
        <v>39547</v>
      </c>
      <c r="B825" s="8">
        <v>87</v>
      </c>
    </row>
    <row r="826" spans="1:2" ht="13.8" x14ac:dyDescent="0.25">
      <c r="A826" s="17">
        <v>39615</v>
      </c>
      <c r="B826" s="8">
        <v>73</v>
      </c>
    </row>
    <row r="827" spans="1:2" ht="13.8" x14ac:dyDescent="0.25">
      <c r="A827" s="17">
        <v>39635</v>
      </c>
      <c r="B827" s="8">
        <v>60</v>
      </c>
    </row>
    <row r="828" spans="1:2" ht="13.8" x14ac:dyDescent="0.25">
      <c r="A828" s="17">
        <v>39673</v>
      </c>
      <c r="B828" s="8">
        <v>73</v>
      </c>
    </row>
    <row r="829" spans="1:2" ht="13.8" x14ac:dyDescent="0.25">
      <c r="A829" s="17">
        <v>39773</v>
      </c>
      <c r="B829" s="8">
        <v>54</v>
      </c>
    </row>
    <row r="830" spans="1:2" ht="13.8" x14ac:dyDescent="0.25">
      <c r="A830" s="17">
        <v>39790</v>
      </c>
      <c r="B830" s="8">
        <v>81</v>
      </c>
    </row>
    <row r="831" spans="1:2" ht="13.8" x14ac:dyDescent="0.25">
      <c r="A831" s="17">
        <v>39863</v>
      </c>
      <c r="B831" s="8">
        <v>59</v>
      </c>
    </row>
    <row r="832" spans="1:2" ht="13.8" x14ac:dyDescent="0.25">
      <c r="A832" s="17">
        <v>39881</v>
      </c>
      <c r="B832" s="8">
        <v>92</v>
      </c>
    </row>
    <row r="833" spans="1:2" ht="13.8" x14ac:dyDescent="0.25">
      <c r="A833" s="17">
        <v>39914</v>
      </c>
      <c r="B833" s="8">
        <v>48</v>
      </c>
    </row>
    <row r="834" spans="1:2" ht="13.8" x14ac:dyDescent="0.25">
      <c r="A834" s="17">
        <v>40020</v>
      </c>
      <c r="B834" s="8">
        <v>41</v>
      </c>
    </row>
    <row r="835" spans="1:2" ht="13.8" x14ac:dyDescent="0.25">
      <c r="A835" s="17">
        <v>40082</v>
      </c>
      <c r="B835" s="8">
        <v>74</v>
      </c>
    </row>
    <row r="836" spans="1:2" ht="13.8" x14ac:dyDescent="0.25">
      <c r="A836" s="17">
        <v>40093</v>
      </c>
      <c r="B836" s="8">
        <v>59</v>
      </c>
    </row>
    <row r="837" spans="1:2" ht="13.8" x14ac:dyDescent="0.25">
      <c r="A837" s="17">
        <v>40116</v>
      </c>
      <c r="B837" s="8">
        <v>98</v>
      </c>
    </row>
    <row r="838" spans="1:2" ht="13.8" x14ac:dyDescent="0.25">
      <c r="A838" s="17">
        <v>40231</v>
      </c>
      <c r="B838" s="8">
        <v>90</v>
      </c>
    </row>
    <row r="839" spans="1:2" ht="13.8" x14ac:dyDescent="0.25">
      <c r="A839" s="17">
        <v>40255</v>
      </c>
      <c r="B839" s="8">
        <v>71</v>
      </c>
    </row>
    <row r="840" spans="1:2" ht="13.8" x14ac:dyDescent="0.25">
      <c r="A840" s="17">
        <v>40281</v>
      </c>
      <c r="B840" s="8">
        <v>78</v>
      </c>
    </row>
    <row r="841" spans="1:2" ht="13.8" x14ac:dyDescent="0.25">
      <c r="A841" s="17">
        <v>40322</v>
      </c>
      <c r="B841" s="8">
        <v>48</v>
      </c>
    </row>
    <row r="842" spans="1:2" ht="13.8" x14ac:dyDescent="0.25">
      <c r="A842" s="17">
        <v>40343</v>
      </c>
      <c r="B842" s="8">
        <v>87</v>
      </c>
    </row>
    <row r="843" spans="1:2" ht="13.8" x14ac:dyDescent="0.25">
      <c r="A843" s="17">
        <v>40401</v>
      </c>
      <c r="B843" s="8">
        <v>53</v>
      </c>
    </row>
    <row r="844" spans="1:2" ht="13.8" x14ac:dyDescent="0.25">
      <c r="A844" s="17">
        <v>40560</v>
      </c>
      <c r="B844" s="8">
        <v>68</v>
      </c>
    </row>
    <row r="845" spans="1:2" ht="13.8" x14ac:dyDescent="0.25">
      <c r="A845" s="17">
        <v>40584</v>
      </c>
      <c r="B845" s="8">
        <v>92</v>
      </c>
    </row>
    <row r="846" spans="1:2" ht="13.8" x14ac:dyDescent="0.25">
      <c r="A846" s="17">
        <v>40607</v>
      </c>
      <c r="B846" s="8">
        <v>77</v>
      </c>
    </row>
    <row r="847" spans="1:2" ht="13.8" x14ac:dyDescent="0.25">
      <c r="A847" s="17">
        <v>40691</v>
      </c>
      <c r="B847" s="8">
        <v>97</v>
      </c>
    </row>
    <row r="848" spans="1:2" ht="13.8" x14ac:dyDescent="0.25">
      <c r="A848" s="17">
        <v>40697</v>
      </c>
      <c r="B848" s="8">
        <v>81</v>
      </c>
    </row>
    <row r="849" spans="1:2" ht="13.8" x14ac:dyDescent="0.25">
      <c r="A849" s="17">
        <v>40700</v>
      </c>
      <c r="B849" s="8">
        <v>93</v>
      </c>
    </row>
    <row r="850" spans="1:2" ht="13.8" x14ac:dyDescent="0.25">
      <c r="A850" s="17">
        <v>40723</v>
      </c>
      <c r="B850" s="8">
        <v>87</v>
      </c>
    </row>
    <row r="851" spans="1:2" ht="13.8" x14ac:dyDescent="0.25">
      <c r="A851" s="17">
        <v>40793</v>
      </c>
      <c r="B851" s="8">
        <v>85</v>
      </c>
    </row>
    <row r="852" spans="1:2" ht="13.8" x14ac:dyDescent="0.25">
      <c r="A852" s="17">
        <v>40816</v>
      </c>
      <c r="B852" s="8">
        <v>82</v>
      </c>
    </row>
    <row r="853" spans="1:2" ht="13.8" x14ac:dyDescent="0.25">
      <c r="A853" s="17">
        <v>40943</v>
      </c>
      <c r="B853" s="8">
        <v>86</v>
      </c>
    </row>
    <row r="854" spans="1:2" ht="13.8" x14ac:dyDescent="0.25">
      <c r="A854" s="17">
        <v>40953</v>
      </c>
      <c r="B854" s="8">
        <v>88</v>
      </c>
    </row>
    <row r="855" spans="1:2" ht="13.8" x14ac:dyDescent="0.25">
      <c r="A855" s="17">
        <v>40994</v>
      </c>
      <c r="B855" s="8">
        <v>55</v>
      </c>
    </row>
    <row r="856" spans="1:2" ht="13.8" x14ac:dyDescent="0.25">
      <c r="A856" s="17">
        <v>41025</v>
      </c>
      <c r="B856" s="8">
        <v>40</v>
      </c>
    </row>
    <row r="857" spans="1:2" ht="13.8" x14ac:dyDescent="0.25">
      <c r="A857" s="17">
        <v>41040</v>
      </c>
      <c r="B857" s="8">
        <v>82</v>
      </c>
    </row>
    <row r="858" spans="1:2" ht="13.8" x14ac:dyDescent="0.25">
      <c r="A858" s="17">
        <v>41068</v>
      </c>
      <c r="B858" s="8">
        <v>84</v>
      </c>
    </row>
    <row r="859" spans="1:2" ht="13.8" x14ac:dyDescent="0.25">
      <c r="A859" s="17">
        <v>41124</v>
      </c>
      <c r="B859" s="8">
        <v>60</v>
      </c>
    </row>
    <row r="860" spans="1:2" ht="13.8" x14ac:dyDescent="0.25">
      <c r="A860" s="17">
        <v>41165</v>
      </c>
      <c r="B860" s="8">
        <v>87</v>
      </c>
    </row>
    <row r="861" spans="1:2" ht="13.8" x14ac:dyDescent="0.25">
      <c r="A861" s="17">
        <v>41258</v>
      </c>
      <c r="B861" s="8">
        <v>74</v>
      </c>
    </row>
    <row r="862" spans="1:2" ht="13.8" x14ac:dyDescent="0.25">
      <c r="A862" s="17">
        <v>41387</v>
      </c>
      <c r="B862" s="8">
        <v>49</v>
      </c>
    </row>
    <row r="863" spans="1:2" ht="13.8" x14ac:dyDescent="0.25">
      <c r="A863" s="17">
        <v>41464</v>
      </c>
      <c r="B863" s="8">
        <v>73</v>
      </c>
    </row>
    <row r="864" spans="1:2" ht="13.8" x14ac:dyDescent="0.25">
      <c r="A864" s="17">
        <v>41465</v>
      </c>
      <c r="B864" s="8">
        <v>68</v>
      </c>
    </row>
    <row r="865" spans="1:2" ht="13.8" x14ac:dyDescent="0.25">
      <c r="A865" s="17">
        <v>41469</v>
      </c>
      <c r="B865" s="8">
        <v>46</v>
      </c>
    </row>
    <row r="866" spans="1:2" ht="13.8" x14ac:dyDescent="0.25">
      <c r="A866" s="17">
        <v>41558</v>
      </c>
      <c r="B866" s="8">
        <v>91</v>
      </c>
    </row>
    <row r="867" spans="1:2" ht="13.8" x14ac:dyDescent="0.25">
      <c r="A867" s="17">
        <v>41591</v>
      </c>
      <c r="B867" s="8">
        <v>76</v>
      </c>
    </row>
    <row r="868" spans="1:2" ht="13.8" x14ac:dyDescent="0.25">
      <c r="A868" s="17">
        <v>41781</v>
      </c>
      <c r="B868" s="8">
        <v>88</v>
      </c>
    </row>
    <row r="869" spans="1:2" ht="13.8" x14ac:dyDescent="0.25">
      <c r="A869" s="17">
        <v>41820</v>
      </c>
      <c r="B869" s="8">
        <v>65</v>
      </c>
    </row>
    <row r="870" spans="1:2" ht="13.8" x14ac:dyDescent="0.25">
      <c r="A870" s="17">
        <v>41887</v>
      </c>
      <c r="B870" s="8">
        <v>41</v>
      </c>
    </row>
    <row r="871" spans="1:2" ht="13.8" x14ac:dyDescent="0.25">
      <c r="A871" s="17">
        <v>41905</v>
      </c>
      <c r="B871" s="8">
        <v>98</v>
      </c>
    </row>
    <row r="872" spans="1:2" ht="13.8" x14ac:dyDescent="0.25">
      <c r="A872" s="17">
        <v>41914</v>
      </c>
      <c r="B872" s="8">
        <v>65</v>
      </c>
    </row>
    <row r="873" spans="1:2" ht="13.8" x14ac:dyDescent="0.25">
      <c r="A873" s="17">
        <v>41918</v>
      </c>
      <c r="B873" s="8">
        <v>49</v>
      </c>
    </row>
    <row r="874" spans="1:2" ht="13.8" x14ac:dyDescent="0.25">
      <c r="A874" s="17">
        <v>41924</v>
      </c>
      <c r="B874" s="8">
        <v>85</v>
      </c>
    </row>
    <row r="875" spans="1:2" ht="13.8" x14ac:dyDescent="0.25">
      <c r="A875" s="17">
        <v>41944</v>
      </c>
      <c r="B875" s="8">
        <v>65</v>
      </c>
    </row>
    <row r="876" spans="1:2" ht="13.8" x14ac:dyDescent="0.25">
      <c r="A876" s="17">
        <v>41946</v>
      </c>
      <c r="B876" s="8">
        <v>43</v>
      </c>
    </row>
    <row r="877" spans="1:2" ht="13.8" x14ac:dyDescent="0.25">
      <c r="A877" s="17">
        <v>41947</v>
      </c>
      <c r="B877" s="8">
        <v>41</v>
      </c>
    </row>
    <row r="878" spans="1:2" ht="13.8" x14ac:dyDescent="0.25">
      <c r="A878" s="17">
        <v>41953</v>
      </c>
      <c r="B878" s="8">
        <v>55</v>
      </c>
    </row>
    <row r="879" spans="1:2" ht="13.8" x14ac:dyDescent="0.25">
      <c r="A879" s="17">
        <v>41962</v>
      </c>
      <c r="B879" s="8">
        <v>91</v>
      </c>
    </row>
    <row r="880" spans="1:2" ht="13.8" x14ac:dyDescent="0.25">
      <c r="A880" s="17">
        <v>42067</v>
      </c>
      <c r="B880" s="8">
        <v>81</v>
      </c>
    </row>
    <row r="881" spans="1:2" ht="13.8" x14ac:dyDescent="0.25">
      <c r="A881" s="17">
        <v>42083</v>
      </c>
      <c r="B881" s="8">
        <v>40</v>
      </c>
    </row>
    <row r="882" spans="1:2" ht="13.8" x14ac:dyDescent="0.25">
      <c r="A882" s="17">
        <v>42084</v>
      </c>
      <c r="B882" s="8">
        <v>47</v>
      </c>
    </row>
    <row r="883" spans="1:2" ht="13.8" x14ac:dyDescent="0.25">
      <c r="A883" s="17">
        <v>42412</v>
      </c>
      <c r="B883" s="8">
        <v>72</v>
      </c>
    </row>
    <row r="884" spans="1:2" ht="13.8" x14ac:dyDescent="0.25">
      <c r="A884" s="17">
        <v>42454</v>
      </c>
      <c r="B884" s="8">
        <v>78</v>
      </c>
    </row>
    <row r="885" spans="1:2" ht="13.8" x14ac:dyDescent="0.25">
      <c r="A885" s="17">
        <v>42526</v>
      </c>
      <c r="B885" s="8">
        <v>81</v>
      </c>
    </row>
    <row r="886" spans="1:2" ht="13.8" x14ac:dyDescent="0.25">
      <c r="A886" s="17">
        <v>42542</v>
      </c>
      <c r="B886" s="8">
        <v>83</v>
      </c>
    </row>
    <row r="887" spans="1:2" ht="13.8" x14ac:dyDescent="0.25">
      <c r="A887" s="17">
        <v>42554</v>
      </c>
      <c r="B887" s="8">
        <v>85</v>
      </c>
    </row>
    <row r="888" spans="1:2" ht="13.8" x14ac:dyDescent="0.25">
      <c r="A888" s="17">
        <v>42560</v>
      </c>
      <c r="B888" s="8">
        <v>67</v>
      </c>
    </row>
    <row r="889" spans="1:2" ht="13.8" x14ac:dyDescent="0.25">
      <c r="A889" s="17">
        <v>42658</v>
      </c>
      <c r="B889" s="8">
        <v>67</v>
      </c>
    </row>
    <row r="890" spans="1:2" ht="13.8" x14ac:dyDescent="0.25">
      <c r="A890" s="17">
        <v>42802</v>
      </c>
      <c r="B890" s="8">
        <v>44</v>
      </c>
    </row>
    <row r="891" spans="1:2" ht="13.8" x14ac:dyDescent="0.25">
      <c r="A891" s="17">
        <v>42876</v>
      </c>
      <c r="B891" s="8">
        <v>45</v>
      </c>
    </row>
    <row r="892" spans="1:2" ht="13.8" x14ac:dyDescent="0.25">
      <c r="A892" s="17">
        <v>42977</v>
      </c>
      <c r="B892" s="8">
        <v>94</v>
      </c>
    </row>
    <row r="893" spans="1:2" ht="13.8" x14ac:dyDescent="0.25">
      <c r="A893" s="17">
        <v>42988</v>
      </c>
      <c r="B893" s="8">
        <v>87</v>
      </c>
    </row>
    <row r="894" spans="1:2" ht="13.8" x14ac:dyDescent="0.25">
      <c r="A894" s="17">
        <v>42991</v>
      </c>
      <c r="B894" s="8">
        <v>67</v>
      </c>
    </row>
    <row r="895" spans="1:2" ht="13.8" x14ac:dyDescent="0.25">
      <c r="A895" s="17">
        <v>43057</v>
      </c>
      <c r="B895" s="8">
        <v>80</v>
      </c>
    </row>
    <row r="896" spans="1:2" ht="13.8" x14ac:dyDescent="0.25">
      <c r="A896" s="17">
        <v>43109</v>
      </c>
      <c r="B896" s="8">
        <v>72</v>
      </c>
    </row>
    <row r="897" spans="1:2" ht="13.8" x14ac:dyDescent="0.25">
      <c r="A897" s="17">
        <v>43235</v>
      </c>
      <c r="B897" s="8">
        <v>84</v>
      </c>
    </row>
    <row r="898" spans="1:2" ht="13.8" x14ac:dyDescent="0.25">
      <c r="A898" s="17">
        <v>43266</v>
      </c>
      <c r="B898" s="8">
        <v>57</v>
      </c>
    </row>
    <row r="899" spans="1:2" ht="13.8" x14ac:dyDescent="0.25">
      <c r="A899" s="17">
        <v>43294</v>
      </c>
      <c r="B899" s="8">
        <v>49</v>
      </c>
    </row>
    <row r="900" spans="1:2" ht="13.8" x14ac:dyDescent="0.25">
      <c r="A900" s="17">
        <v>43318</v>
      </c>
      <c r="B900" s="8">
        <v>86</v>
      </c>
    </row>
    <row r="901" spans="1:2" ht="13.8" x14ac:dyDescent="0.25">
      <c r="A901" s="17">
        <v>43484</v>
      </c>
      <c r="B901" s="8">
        <v>64</v>
      </c>
    </row>
    <row r="902" spans="1:2" ht="13.8" x14ac:dyDescent="0.25">
      <c r="A902" s="17">
        <v>43549</v>
      </c>
      <c r="B902" s="8">
        <v>79</v>
      </c>
    </row>
    <row r="903" spans="1:2" ht="13.8" x14ac:dyDescent="0.25">
      <c r="A903" s="17">
        <v>43692</v>
      </c>
      <c r="B903" s="8">
        <v>79</v>
      </c>
    </row>
    <row r="904" spans="1:2" ht="13.8" x14ac:dyDescent="0.25">
      <c r="A904" s="17">
        <v>43769</v>
      </c>
      <c r="B904" s="8">
        <v>70</v>
      </c>
    </row>
    <row r="905" spans="1:2" ht="13.8" x14ac:dyDescent="0.25">
      <c r="A905" s="17">
        <v>43825</v>
      </c>
      <c r="B905" s="8">
        <v>51</v>
      </c>
    </row>
    <row r="906" spans="1:2" ht="13.8" x14ac:dyDescent="0.25">
      <c r="A906" s="17">
        <v>43894</v>
      </c>
      <c r="B906" s="8">
        <v>82</v>
      </c>
    </row>
    <row r="907" spans="1:2" ht="13.8" x14ac:dyDescent="0.25">
      <c r="A907" s="17">
        <v>43916</v>
      </c>
      <c r="B907" s="8">
        <v>56</v>
      </c>
    </row>
    <row r="908" spans="1:2" ht="13.8" x14ac:dyDescent="0.25">
      <c r="A908" s="17">
        <v>43985</v>
      </c>
      <c r="B908" s="8">
        <v>69</v>
      </c>
    </row>
    <row r="909" spans="1:2" ht="13.8" x14ac:dyDescent="0.25">
      <c r="A909" s="17">
        <v>44018</v>
      </c>
      <c r="B909" s="8">
        <v>88</v>
      </c>
    </row>
    <row r="910" spans="1:2" ht="13.8" x14ac:dyDescent="0.25">
      <c r="A910" s="17">
        <v>44034</v>
      </c>
      <c r="B910" s="8">
        <v>99</v>
      </c>
    </row>
    <row r="911" spans="1:2" ht="13.8" x14ac:dyDescent="0.25">
      <c r="A911" s="17">
        <v>44048</v>
      </c>
      <c r="B911" s="8">
        <v>100</v>
      </c>
    </row>
    <row r="912" spans="1:2" ht="13.8" x14ac:dyDescent="0.25">
      <c r="A912" s="17">
        <v>44052</v>
      </c>
      <c r="B912" s="8">
        <v>83</v>
      </c>
    </row>
    <row r="913" spans="1:2" ht="13.8" x14ac:dyDescent="0.25">
      <c r="A913" s="17">
        <v>44086</v>
      </c>
      <c r="B913" s="8">
        <v>41</v>
      </c>
    </row>
    <row r="914" spans="1:2" ht="13.8" x14ac:dyDescent="0.25">
      <c r="A914" s="17">
        <v>44128</v>
      </c>
      <c r="B914" s="8">
        <v>76</v>
      </c>
    </row>
    <row r="915" spans="1:2" ht="13.8" x14ac:dyDescent="0.25">
      <c r="A915" s="17">
        <v>44318</v>
      </c>
      <c r="B915" s="8">
        <v>88</v>
      </c>
    </row>
    <row r="916" spans="1:2" ht="13.8" x14ac:dyDescent="0.25">
      <c r="A916" s="17">
        <v>44336</v>
      </c>
      <c r="B916" s="8">
        <v>68</v>
      </c>
    </row>
    <row r="917" spans="1:2" ht="13.8" x14ac:dyDescent="0.25">
      <c r="A917" s="17">
        <v>44373</v>
      </c>
      <c r="B917" s="8">
        <v>94</v>
      </c>
    </row>
    <row r="918" spans="1:2" ht="13.8" x14ac:dyDescent="0.25">
      <c r="A918" s="17">
        <v>44438</v>
      </c>
      <c r="B918" s="8">
        <v>56</v>
      </c>
    </row>
    <row r="919" spans="1:2" ht="13.8" x14ac:dyDescent="0.25">
      <c r="A919" s="17">
        <v>44453</v>
      </c>
      <c r="B919" s="8">
        <v>53</v>
      </c>
    </row>
    <row r="920" spans="1:2" ht="13.8" x14ac:dyDescent="0.25">
      <c r="A920" s="17">
        <v>44471</v>
      </c>
      <c r="B920" s="8">
        <v>95</v>
      </c>
    </row>
    <row r="921" spans="1:2" ht="13.8" x14ac:dyDescent="0.25">
      <c r="A921" s="17">
        <v>44524</v>
      </c>
      <c r="B921" s="8">
        <v>90</v>
      </c>
    </row>
    <row r="922" spans="1:2" ht="13.8" x14ac:dyDescent="0.25">
      <c r="A922" s="17">
        <v>44534</v>
      </c>
      <c r="B922" s="8">
        <v>62</v>
      </c>
    </row>
    <row r="923" spans="1:2" ht="13.8" x14ac:dyDescent="0.25">
      <c r="A923" s="17">
        <v>44554</v>
      </c>
      <c r="B923" s="8">
        <v>77</v>
      </c>
    </row>
    <row r="924" spans="1:2" ht="13.8" x14ac:dyDescent="0.25">
      <c r="A924" s="17">
        <v>44617</v>
      </c>
      <c r="B924" s="8">
        <v>91</v>
      </c>
    </row>
    <row r="925" spans="1:2" ht="13.8" x14ac:dyDescent="0.25">
      <c r="A925" s="17">
        <v>44626</v>
      </c>
      <c r="B925" s="8">
        <v>62</v>
      </c>
    </row>
    <row r="926" spans="1:2" ht="13.8" x14ac:dyDescent="0.25">
      <c r="A926" s="17">
        <v>44644</v>
      </c>
      <c r="B926" s="8">
        <v>53</v>
      </c>
    </row>
    <row r="927" spans="1:2" ht="13.8" x14ac:dyDescent="0.25">
      <c r="A927" s="17">
        <v>44649</v>
      </c>
      <c r="B927" s="8">
        <v>60</v>
      </c>
    </row>
    <row r="928" spans="1:2" ht="13.8" x14ac:dyDescent="0.25">
      <c r="A928" s="17">
        <v>44669</v>
      </c>
      <c r="B928" s="8">
        <v>65</v>
      </c>
    </row>
    <row r="929" spans="1:2" ht="13.8" x14ac:dyDescent="0.25">
      <c r="A929" s="17">
        <v>44698</v>
      </c>
      <c r="B929" s="8">
        <v>62</v>
      </c>
    </row>
    <row r="930" spans="1:2" ht="13.8" x14ac:dyDescent="0.25">
      <c r="A930" s="17">
        <v>44724</v>
      </c>
      <c r="B930" s="8">
        <v>81</v>
      </c>
    </row>
    <row r="931" spans="1:2" ht="13.8" x14ac:dyDescent="0.25">
      <c r="A931" s="17">
        <v>44740</v>
      </c>
      <c r="B931" s="8">
        <v>52</v>
      </c>
    </row>
    <row r="932" spans="1:2" ht="13.8" x14ac:dyDescent="0.25">
      <c r="A932" s="17">
        <v>44764</v>
      </c>
      <c r="B932" s="8">
        <v>54</v>
      </c>
    </row>
    <row r="933" spans="1:2" ht="13.8" x14ac:dyDescent="0.25">
      <c r="A933" s="17">
        <v>44768</v>
      </c>
      <c r="B933" s="8">
        <v>98</v>
      </c>
    </row>
    <row r="934" spans="1:2" ht="13.8" x14ac:dyDescent="0.25">
      <c r="A934" s="17">
        <v>44936</v>
      </c>
      <c r="B934" s="8">
        <v>63</v>
      </c>
    </row>
    <row r="935" spans="1:2" ht="13.8" x14ac:dyDescent="0.25">
      <c r="A935" s="17">
        <v>45040</v>
      </c>
      <c r="B935" s="8">
        <v>71</v>
      </c>
    </row>
    <row r="936" spans="1:2" ht="13.8" x14ac:dyDescent="0.25">
      <c r="A936" s="17">
        <v>45068</v>
      </c>
      <c r="B936" s="8">
        <v>70</v>
      </c>
    </row>
    <row r="937" spans="1:2" ht="13.8" x14ac:dyDescent="0.25">
      <c r="A937" s="17">
        <v>45114</v>
      </c>
      <c r="B937" s="8">
        <v>41</v>
      </c>
    </row>
    <row r="938" spans="1:2" ht="13.8" x14ac:dyDescent="0.25">
      <c r="A938" s="17">
        <v>45155</v>
      </c>
      <c r="B938" s="8">
        <v>58</v>
      </c>
    </row>
    <row r="939" spans="1:2" ht="13.8" x14ac:dyDescent="0.25">
      <c r="A939" s="17">
        <v>45184</v>
      </c>
      <c r="B939" s="8">
        <v>46</v>
      </c>
    </row>
    <row r="940" spans="1:2" ht="13.8" x14ac:dyDescent="0.25">
      <c r="A940" s="17">
        <v>45234</v>
      </c>
      <c r="B940" s="8">
        <v>55</v>
      </c>
    </row>
    <row r="941" spans="1:2" ht="13.8" x14ac:dyDescent="0.25">
      <c r="A941" s="17">
        <v>45430</v>
      </c>
      <c r="B941" s="8">
        <v>79</v>
      </c>
    </row>
    <row r="942" spans="1:2" ht="13.8" x14ac:dyDescent="0.25">
      <c r="A942" s="17">
        <v>45511</v>
      </c>
      <c r="B942" s="8">
        <v>88</v>
      </c>
    </row>
    <row r="943" spans="1:2" ht="13.8" x14ac:dyDescent="0.25">
      <c r="A943" s="17">
        <v>45544</v>
      </c>
      <c r="B943" s="8">
        <v>40</v>
      </c>
    </row>
    <row r="944" spans="1:2" ht="13.8" x14ac:dyDescent="0.25">
      <c r="A944" s="17">
        <v>45809</v>
      </c>
      <c r="B944" s="8">
        <v>88</v>
      </c>
    </row>
    <row r="945" spans="1:2" ht="13.8" x14ac:dyDescent="0.25">
      <c r="A945" s="17">
        <v>45834</v>
      </c>
      <c r="B945" s="8">
        <v>64</v>
      </c>
    </row>
    <row r="946" spans="1:2" ht="13.8" x14ac:dyDescent="0.25">
      <c r="A946" s="17">
        <v>45845</v>
      </c>
      <c r="B946" s="8">
        <v>40</v>
      </c>
    </row>
    <row r="947" spans="1:2" ht="13.8" x14ac:dyDescent="0.25">
      <c r="A947" s="17">
        <v>45865</v>
      </c>
      <c r="B947" s="8">
        <v>63</v>
      </c>
    </row>
    <row r="948" spans="1:2" ht="13.8" x14ac:dyDescent="0.25">
      <c r="A948" s="17">
        <v>45912</v>
      </c>
      <c r="B948" s="8">
        <v>90</v>
      </c>
    </row>
    <row r="949" spans="1:2" ht="13.8" x14ac:dyDescent="0.25">
      <c r="A949" s="17">
        <v>45918</v>
      </c>
      <c r="B949" s="8">
        <v>87</v>
      </c>
    </row>
    <row r="950" spans="1:2" ht="13.8" x14ac:dyDescent="0.25">
      <c r="A950" s="17">
        <v>45940</v>
      </c>
      <c r="B950" s="8">
        <v>88</v>
      </c>
    </row>
    <row r="951" spans="1:2" ht="13.8" x14ac:dyDescent="0.25">
      <c r="A951" s="17">
        <v>46014</v>
      </c>
      <c r="B951" s="8">
        <v>73</v>
      </c>
    </row>
    <row r="952" spans="1:2" ht="13.8" x14ac:dyDescent="0.25">
      <c r="A952" s="17">
        <v>46175</v>
      </c>
      <c r="B952" s="8">
        <v>84</v>
      </c>
    </row>
    <row r="953" spans="1:2" ht="13.8" x14ac:dyDescent="0.25">
      <c r="A953" s="17">
        <v>46177</v>
      </c>
      <c r="B953" s="8">
        <v>70</v>
      </c>
    </row>
    <row r="954" spans="1:2" ht="13.8" x14ac:dyDescent="0.25">
      <c r="A954" s="17">
        <v>46317</v>
      </c>
      <c r="B954" s="8">
        <v>54</v>
      </c>
    </row>
    <row r="955" spans="1:2" ht="13.8" x14ac:dyDescent="0.25">
      <c r="A955" s="17">
        <v>46353</v>
      </c>
      <c r="B955" s="8">
        <v>78</v>
      </c>
    </row>
    <row r="956" spans="1:2" ht="13.8" x14ac:dyDescent="0.25">
      <c r="A956" s="17">
        <v>46397</v>
      </c>
      <c r="B956" s="8">
        <v>86</v>
      </c>
    </row>
    <row r="957" spans="1:2" ht="13.8" x14ac:dyDescent="0.25">
      <c r="A957" s="17">
        <v>46486</v>
      </c>
      <c r="B957" s="8">
        <v>42</v>
      </c>
    </row>
    <row r="958" spans="1:2" ht="13.8" x14ac:dyDescent="0.25">
      <c r="A958" s="17">
        <v>46493</v>
      </c>
      <c r="B958" s="8">
        <v>87</v>
      </c>
    </row>
    <row r="959" spans="1:2" ht="13.8" x14ac:dyDescent="0.25">
      <c r="A959" s="17">
        <v>46524</v>
      </c>
      <c r="B959" s="8">
        <v>53</v>
      </c>
    </row>
    <row r="960" spans="1:2" ht="13.8" x14ac:dyDescent="0.25">
      <c r="A960" s="17">
        <v>46541</v>
      </c>
      <c r="B960" s="8">
        <v>64</v>
      </c>
    </row>
    <row r="961" spans="1:2" ht="13.8" x14ac:dyDescent="0.25">
      <c r="A961" s="17">
        <v>46545</v>
      </c>
      <c r="B961" s="8">
        <v>82</v>
      </c>
    </row>
    <row r="962" spans="1:2" ht="13.8" x14ac:dyDescent="0.25">
      <c r="A962" s="17">
        <v>46586</v>
      </c>
      <c r="B962" s="8">
        <v>79</v>
      </c>
    </row>
    <row r="963" spans="1:2" ht="13.8" x14ac:dyDescent="0.25">
      <c r="A963" s="17">
        <v>46588</v>
      </c>
      <c r="B963" s="8">
        <v>51</v>
      </c>
    </row>
    <row r="964" spans="1:2" ht="13.8" x14ac:dyDescent="0.25">
      <c r="A964" s="17">
        <v>46686</v>
      </c>
      <c r="B964" s="8">
        <v>41</v>
      </c>
    </row>
    <row r="965" spans="1:2" ht="13.8" x14ac:dyDescent="0.25">
      <c r="A965" s="17">
        <v>46688</v>
      </c>
      <c r="B965" s="8">
        <v>83</v>
      </c>
    </row>
    <row r="966" spans="1:2" ht="13.8" x14ac:dyDescent="0.25">
      <c r="A966" s="17">
        <v>46722</v>
      </c>
      <c r="B966" s="8">
        <v>97</v>
      </c>
    </row>
    <row r="967" spans="1:2" ht="13.8" x14ac:dyDescent="0.25">
      <c r="A967" s="17">
        <v>46723</v>
      </c>
      <c r="B967" s="8">
        <v>57</v>
      </c>
    </row>
    <row r="968" spans="1:2" ht="13.8" x14ac:dyDescent="0.25">
      <c r="A968" s="17">
        <v>46729</v>
      </c>
      <c r="B968" s="8">
        <v>62</v>
      </c>
    </row>
    <row r="969" spans="1:2" ht="13.8" x14ac:dyDescent="0.25">
      <c r="A969" s="17">
        <v>46732</v>
      </c>
      <c r="B969" s="8">
        <v>40</v>
      </c>
    </row>
    <row r="970" spans="1:2" ht="13.8" x14ac:dyDescent="0.25">
      <c r="A970" s="17">
        <v>46868</v>
      </c>
      <c r="B970" s="8">
        <v>71</v>
      </c>
    </row>
    <row r="971" spans="1:2" ht="13.8" x14ac:dyDescent="0.25">
      <c r="A971" s="17">
        <v>46904</v>
      </c>
      <c r="B971" s="8">
        <v>69</v>
      </c>
    </row>
    <row r="972" spans="1:2" ht="13.8" x14ac:dyDescent="0.25">
      <c r="A972" s="17">
        <v>46943</v>
      </c>
      <c r="B972" s="8">
        <v>97</v>
      </c>
    </row>
    <row r="973" spans="1:2" ht="13.8" x14ac:dyDescent="0.25">
      <c r="A973" s="17">
        <v>46993</v>
      </c>
      <c r="B973" s="8">
        <v>96</v>
      </c>
    </row>
    <row r="974" spans="1:2" ht="13.8" x14ac:dyDescent="0.25">
      <c r="A974" s="17">
        <v>47037</v>
      </c>
      <c r="B974" s="8">
        <v>53</v>
      </c>
    </row>
    <row r="975" spans="1:2" ht="13.8" x14ac:dyDescent="0.25">
      <c r="A975" s="17">
        <v>47071</v>
      </c>
      <c r="B975" s="8">
        <v>97</v>
      </c>
    </row>
    <row r="976" spans="1:2" ht="13.8" x14ac:dyDescent="0.25">
      <c r="A976" s="17">
        <v>47186</v>
      </c>
      <c r="B976" s="8">
        <v>46</v>
      </c>
    </row>
    <row r="977" spans="1:2" ht="13.8" x14ac:dyDescent="0.25">
      <c r="A977" s="17">
        <v>47466</v>
      </c>
      <c r="B977" s="8">
        <v>49</v>
      </c>
    </row>
    <row r="978" spans="1:2" ht="13.8" x14ac:dyDescent="0.25">
      <c r="A978" s="17">
        <v>47537</v>
      </c>
      <c r="B978" s="8">
        <v>70</v>
      </c>
    </row>
    <row r="979" spans="1:2" ht="13.8" x14ac:dyDescent="0.25">
      <c r="A979" s="17">
        <v>47566</v>
      </c>
      <c r="B979" s="8">
        <v>61</v>
      </c>
    </row>
    <row r="980" spans="1:2" ht="13.8" x14ac:dyDescent="0.25">
      <c r="A980" s="17">
        <v>47625</v>
      </c>
      <c r="B980" s="8">
        <v>93</v>
      </c>
    </row>
    <row r="981" spans="1:2" ht="13.8" x14ac:dyDescent="0.25">
      <c r="A981" s="17">
        <v>47786</v>
      </c>
      <c r="B981" s="8">
        <v>53</v>
      </c>
    </row>
    <row r="982" spans="1:2" ht="13.8" x14ac:dyDescent="0.25">
      <c r="A982" s="17">
        <v>48016</v>
      </c>
      <c r="B982" s="8">
        <v>77</v>
      </c>
    </row>
    <row r="983" spans="1:2" ht="13.8" x14ac:dyDescent="0.25">
      <c r="A983" s="17">
        <v>48032</v>
      </c>
      <c r="B983" s="8">
        <v>100</v>
      </c>
    </row>
    <row r="984" spans="1:2" ht="13.8" x14ac:dyDescent="0.25">
      <c r="A984" s="17">
        <v>48033</v>
      </c>
      <c r="B984" s="8">
        <v>100</v>
      </c>
    </row>
    <row r="985" spans="1:2" ht="13.8" x14ac:dyDescent="0.25">
      <c r="A985" s="17">
        <v>48049</v>
      </c>
      <c r="B985" s="8">
        <v>50</v>
      </c>
    </row>
    <row r="986" spans="1:2" ht="13.8" x14ac:dyDescent="0.25">
      <c r="A986" s="17">
        <v>48081</v>
      </c>
      <c r="B986" s="8">
        <v>77</v>
      </c>
    </row>
    <row r="987" spans="1:2" ht="13.8" x14ac:dyDescent="0.25">
      <c r="A987" s="17">
        <v>48106</v>
      </c>
      <c r="B987" s="8">
        <v>45</v>
      </c>
    </row>
    <row r="988" spans="1:2" ht="13.8" x14ac:dyDescent="0.25">
      <c r="A988" s="17">
        <v>48125</v>
      </c>
      <c r="B988" s="8">
        <v>53</v>
      </c>
    </row>
    <row r="989" spans="1:2" ht="13.8" x14ac:dyDescent="0.25">
      <c r="A989" s="17">
        <v>48207</v>
      </c>
      <c r="B989" s="8">
        <v>49</v>
      </c>
    </row>
    <row r="990" spans="1:2" ht="13.8" x14ac:dyDescent="0.25">
      <c r="A990" s="17">
        <v>48244</v>
      </c>
      <c r="B990" s="8">
        <v>93</v>
      </c>
    </row>
    <row r="991" spans="1:2" ht="13.8" x14ac:dyDescent="0.25">
      <c r="A991" s="17">
        <v>48248</v>
      </c>
      <c r="B991" s="8">
        <v>70</v>
      </c>
    </row>
    <row r="992" spans="1:2" ht="13.8" x14ac:dyDescent="0.25">
      <c r="A992" s="17">
        <v>48508</v>
      </c>
      <c r="B992" s="8">
        <v>62</v>
      </c>
    </row>
    <row r="993" spans="1:2" ht="13.8" x14ac:dyDescent="0.25">
      <c r="A993" s="17">
        <v>48562</v>
      </c>
      <c r="B993" s="8">
        <v>77</v>
      </c>
    </row>
    <row r="994" spans="1:2" ht="13.8" x14ac:dyDescent="0.25">
      <c r="A994" s="17">
        <v>48610</v>
      </c>
      <c r="B994" s="8">
        <v>66</v>
      </c>
    </row>
    <row r="995" spans="1:2" ht="13.8" x14ac:dyDescent="0.25">
      <c r="A995" s="17">
        <v>48635</v>
      </c>
      <c r="B995" s="8">
        <v>49</v>
      </c>
    </row>
    <row r="996" spans="1:2" ht="13.8" x14ac:dyDescent="0.25">
      <c r="A996" s="17">
        <v>48704</v>
      </c>
      <c r="B996" s="8">
        <v>57</v>
      </c>
    </row>
    <row r="997" spans="1:2" ht="13.8" x14ac:dyDescent="0.25">
      <c r="A997" s="17">
        <v>48740</v>
      </c>
      <c r="B997" s="8">
        <v>73</v>
      </c>
    </row>
    <row r="998" spans="1:2" ht="13.8" x14ac:dyDescent="0.25">
      <c r="A998" s="17">
        <v>48786</v>
      </c>
      <c r="B998" s="8">
        <v>87</v>
      </c>
    </row>
    <row r="999" spans="1:2" ht="13.8" x14ac:dyDescent="0.25">
      <c r="A999" s="17">
        <v>48807</v>
      </c>
      <c r="B999" s="8">
        <v>56</v>
      </c>
    </row>
    <row r="1000" spans="1:2" ht="13.8" x14ac:dyDescent="0.25">
      <c r="A1000" s="17">
        <v>48851</v>
      </c>
      <c r="B1000" s="8">
        <v>72</v>
      </c>
    </row>
    <row r="1001" spans="1:2" ht="13.8" x14ac:dyDescent="0.25">
      <c r="A1001" s="17">
        <v>48879</v>
      </c>
      <c r="B1001" s="8">
        <v>68</v>
      </c>
    </row>
    <row r="1002" spans="1:2" ht="13.8" x14ac:dyDescent="0.25">
      <c r="A1002" s="17">
        <v>48993</v>
      </c>
      <c r="B1002" s="8">
        <v>56</v>
      </c>
    </row>
    <row r="1003" spans="1:2" ht="13.8" x14ac:dyDescent="0.25">
      <c r="A1003" s="17">
        <v>49027</v>
      </c>
      <c r="B1003" s="8">
        <v>89</v>
      </c>
    </row>
    <row r="1004" spans="1:2" ht="13.8" x14ac:dyDescent="0.25">
      <c r="A1004" s="17">
        <v>49031</v>
      </c>
      <c r="B1004" s="8">
        <v>86</v>
      </c>
    </row>
    <row r="1005" spans="1:2" ht="13.8" x14ac:dyDescent="0.25">
      <c r="A1005" s="17">
        <v>49115</v>
      </c>
      <c r="B1005" s="8">
        <v>52</v>
      </c>
    </row>
    <row r="1006" spans="1:2" ht="13.8" x14ac:dyDescent="0.25">
      <c r="A1006" s="17">
        <v>49160</v>
      </c>
      <c r="B1006" s="8">
        <v>96</v>
      </c>
    </row>
    <row r="1007" spans="1:2" ht="13.8" x14ac:dyDescent="0.25">
      <c r="A1007" s="17">
        <v>49196</v>
      </c>
      <c r="B1007" s="8">
        <v>63</v>
      </c>
    </row>
    <row r="1008" spans="1:2" ht="13.8" x14ac:dyDescent="0.25">
      <c r="A1008" s="17">
        <v>49234</v>
      </c>
      <c r="B1008" s="8">
        <v>92</v>
      </c>
    </row>
    <row r="1009" spans="1:2" ht="13.8" x14ac:dyDescent="0.25">
      <c r="A1009" s="17">
        <v>49237</v>
      </c>
      <c r="B1009" s="8">
        <v>96</v>
      </c>
    </row>
    <row r="1010" spans="1:2" ht="13.8" x14ac:dyDescent="0.25">
      <c r="A1010" s="17">
        <v>49242</v>
      </c>
      <c r="B1010" s="8">
        <v>90</v>
      </c>
    </row>
    <row r="1011" spans="1:2" ht="13.8" x14ac:dyDescent="0.25">
      <c r="A1011" s="17">
        <v>49266</v>
      </c>
      <c r="B1011" s="8">
        <v>53</v>
      </c>
    </row>
    <row r="1012" spans="1:2" ht="13.8" x14ac:dyDescent="0.25">
      <c r="A1012" s="17">
        <v>49274</v>
      </c>
      <c r="B1012" s="8">
        <v>91</v>
      </c>
    </row>
    <row r="1013" spans="1:2" ht="13.8" x14ac:dyDescent="0.25">
      <c r="A1013" s="17">
        <v>49285</v>
      </c>
      <c r="B1013" s="8">
        <v>86</v>
      </c>
    </row>
    <row r="1014" spans="1:2" ht="13.8" x14ac:dyDescent="0.25">
      <c r="A1014" s="17">
        <v>49565</v>
      </c>
      <c r="B1014" s="8">
        <v>73</v>
      </c>
    </row>
    <row r="1015" spans="1:2" ht="13.8" x14ac:dyDescent="0.25">
      <c r="A1015" s="17">
        <v>49583</v>
      </c>
      <c r="B1015" s="8">
        <v>43</v>
      </c>
    </row>
    <row r="1016" spans="1:2" ht="13.8" x14ac:dyDescent="0.25">
      <c r="A1016" s="17">
        <v>49597</v>
      </c>
      <c r="B1016" s="8">
        <v>84</v>
      </c>
    </row>
    <row r="1017" spans="1:2" ht="13.8" x14ac:dyDescent="0.25">
      <c r="A1017" s="17">
        <v>49646</v>
      </c>
      <c r="B1017" s="8">
        <v>59</v>
      </c>
    </row>
    <row r="1018" spans="1:2" ht="13.8" x14ac:dyDescent="0.25">
      <c r="A1018" s="17">
        <v>49738</v>
      </c>
      <c r="B1018" s="8">
        <v>46</v>
      </c>
    </row>
    <row r="1019" spans="1:2" ht="13.8" x14ac:dyDescent="0.25">
      <c r="A1019" s="17">
        <v>49797</v>
      </c>
      <c r="B1019" s="8">
        <v>92</v>
      </c>
    </row>
    <row r="1020" spans="1:2" ht="13.8" x14ac:dyDescent="0.25">
      <c r="A1020" s="17">
        <v>49808</v>
      </c>
      <c r="B1020" s="8">
        <v>57</v>
      </c>
    </row>
    <row r="1021" spans="1:2" ht="13.8" x14ac:dyDescent="0.25">
      <c r="A1021" s="17">
        <v>49814</v>
      </c>
      <c r="B1021" s="8">
        <v>54.5</v>
      </c>
    </row>
    <row r="1022" spans="1:2" ht="13.8" x14ac:dyDescent="0.25">
      <c r="A1022" s="17">
        <v>49816</v>
      </c>
      <c r="B1022" s="8">
        <v>41</v>
      </c>
    </row>
    <row r="1023" spans="1:2" ht="13.8" x14ac:dyDescent="0.25">
      <c r="A1023" s="17">
        <v>49884</v>
      </c>
      <c r="B1023" s="8">
        <v>83</v>
      </c>
    </row>
    <row r="1024" spans="1:2" ht="13.8" x14ac:dyDescent="0.25">
      <c r="A1024" s="17">
        <v>49897</v>
      </c>
      <c r="B1024" s="8">
        <v>80</v>
      </c>
    </row>
    <row r="1025" spans="1:2" ht="13.8" x14ac:dyDescent="0.25">
      <c r="A1025" s="17">
        <v>49901</v>
      </c>
      <c r="B1025" s="8">
        <v>86</v>
      </c>
    </row>
    <row r="1026" spans="1:2" ht="13.8" x14ac:dyDescent="0.25">
      <c r="A1026" s="17">
        <v>49947</v>
      </c>
      <c r="B1026" s="8">
        <v>44</v>
      </c>
    </row>
    <row r="1027" spans="1:2" ht="13.8" x14ac:dyDescent="0.25">
      <c r="A1027" s="17" t="s">
        <v>1049</v>
      </c>
      <c r="B1027" s="16">
        <v>70.195999999999998</v>
      </c>
    </row>
    <row r="1028" spans="1:2" ht="13.8" x14ac:dyDescent="0.25"/>
    <row r="1029" spans="1:2" ht="13.8" x14ac:dyDescent="0.25"/>
    <row r="1030" spans="1:2" ht="13.8" x14ac:dyDescent="0.25"/>
    <row r="1031" spans="1:2" ht="13.8" x14ac:dyDescent="0.25"/>
    <row r="1032" spans="1:2" ht="13.8" x14ac:dyDescent="0.25"/>
    <row r="1033" spans="1:2" ht="13.8" x14ac:dyDescent="0.25"/>
    <row r="1034" spans="1:2" ht="13.8" x14ac:dyDescent="0.25"/>
    <row r="1035" spans="1:2" ht="13.8" x14ac:dyDescent="0.25"/>
    <row r="1036" spans="1:2" ht="13.8" x14ac:dyDescent="0.25"/>
    <row r="1037" spans="1:2" ht="13.8" x14ac:dyDescent="0.25"/>
    <row r="1038" spans="1:2" ht="13.8" x14ac:dyDescent="0.25"/>
    <row r="1039" spans="1:2" ht="13.8" x14ac:dyDescent="0.25"/>
    <row r="1040" spans="1:2" ht="13.8" x14ac:dyDescent="0.25"/>
    <row r="1041" ht="13.8" x14ac:dyDescent="0.25"/>
    <row r="1042" ht="13.8" x14ac:dyDescent="0.25"/>
    <row r="1043" ht="13.8" x14ac:dyDescent="0.25"/>
    <row r="1044" ht="13.8" x14ac:dyDescent="0.25"/>
    <row r="1045" ht="13.8" x14ac:dyDescent="0.25"/>
    <row r="1046" ht="13.8" x14ac:dyDescent="0.25"/>
  </sheetData>
  <pageMargins left="0.7" right="0.7" top="0.75" bottom="0.75" header="0.3" footer="0.3"/>
  <ignoredErrors>
    <ignoredError sqref="G4"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62DBC-63C3-4F5F-A4C1-99D077D1A9CD}">
  <dimension ref="A1:H1001"/>
  <sheetViews>
    <sheetView workbookViewId="0">
      <selection activeCell="G3" sqref="G3:H5"/>
    </sheetView>
  </sheetViews>
  <sheetFormatPr defaultRowHeight="14.4" x14ac:dyDescent="0.25"/>
  <cols>
    <col min="1" max="1" width="13.69921875" style="16" customWidth="1"/>
    <col min="2" max="2" width="18.09765625" customWidth="1"/>
  </cols>
  <sheetData>
    <row r="1" spans="1:8" ht="13.8" x14ac:dyDescent="0.25">
      <c r="A1" s="16" t="s">
        <v>1092</v>
      </c>
      <c r="B1" t="s">
        <v>1093</v>
      </c>
    </row>
    <row r="2" spans="1:8" ht="13.8" x14ac:dyDescent="0.25">
      <c r="A2" s="19">
        <v>25256</v>
      </c>
      <c r="B2" s="8">
        <v>72.5</v>
      </c>
    </row>
    <row r="3" spans="1:8" ht="13.8" x14ac:dyDescent="0.25">
      <c r="A3" s="20">
        <v>5622</v>
      </c>
      <c r="B3" s="8">
        <v>72</v>
      </c>
      <c r="G3" s="15" t="s">
        <v>2</v>
      </c>
      <c r="H3" s="15" t="s">
        <v>1094</v>
      </c>
    </row>
    <row r="4" spans="1:8" ht="13.8" x14ac:dyDescent="0.25">
      <c r="A4" s="19">
        <v>33833</v>
      </c>
      <c r="B4" s="8">
        <v>76</v>
      </c>
      <c r="G4" t="s">
        <v>16</v>
      </c>
      <c r="H4">
        <f>COUNTIF(Cleaned_Data!C:C,"Male")</f>
        <v>516</v>
      </c>
    </row>
    <row r="5" spans="1:8" ht="13.8" x14ac:dyDescent="0.25">
      <c r="A5" s="20">
        <v>49160</v>
      </c>
      <c r="B5" s="8">
        <v>92</v>
      </c>
      <c r="G5" t="s">
        <v>11</v>
      </c>
      <c r="H5">
        <f>COUNTIF(Cleaned_Data!C:C,"Female")</f>
        <v>484</v>
      </c>
    </row>
    <row r="6" spans="1:8" ht="13.8" x14ac:dyDescent="0.25">
      <c r="A6" s="19">
        <v>38769</v>
      </c>
      <c r="B6" s="8">
        <v>74</v>
      </c>
    </row>
    <row r="7" spans="1:8" ht="13.8" x14ac:dyDescent="0.25">
      <c r="A7" s="20">
        <v>9538</v>
      </c>
      <c r="B7" s="8">
        <v>71</v>
      </c>
    </row>
    <row r="8" spans="1:8" ht="13.8" x14ac:dyDescent="0.25">
      <c r="A8" s="19">
        <v>29462</v>
      </c>
      <c r="B8" s="8">
        <v>64</v>
      </c>
    </row>
    <row r="9" spans="1:8" ht="13.8" x14ac:dyDescent="0.25">
      <c r="A9" s="20">
        <v>11169</v>
      </c>
      <c r="B9" s="8">
        <v>87</v>
      </c>
    </row>
    <row r="10" spans="1:8" ht="13.8" x14ac:dyDescent="0.25">
      <c r="A10" s="19">
        <v>22683</v>
      </c>
      <c r="B10" s="8">
        <v>76</v>
      </c>
    </row>
    <row r="11" spans="1:8" ht="13.8" x14ac:dyDescent="0.25">
      <c r="A11" s="20">
        <v>41591</v>
      </c>
      <c r="B11" s="8">
        <v>73</v>
      </c>
    </row>
    <row r="12" spans="1:8" ht="13.8" x14ac:dyDescent="0.25">
      <c r="A12" s="19">
        <v>37325</v>
      </c>
      <c r="B12" s="8">
        <v>57</v>
      </c>
    </row>
    <row r="13" spans="1:8" ht="13.8" x14ac:dyDescent="0.25">
      <c r="A13" s="20">
        <v>40322</v>
      </c>
      <c r="B13" s="8">
        <v>45</v>
      </c>
    </row>
    <row r="14" spans="1:8" ht="13.8" x14ac:dyDescent="0.25">
      <c r="A14" s="19">
        <v>1585</v>
      </c>
      <c r="B14" s="8">
        <v>74</v>
      </c>
    </row>
    <row r="15" spans="1:8" ht="13.8" x14ac:dyDescent="0.25">
      <c r="A15" s="20">
        <v>32794</v>
      </c>
      <c r="B15" s="8">
        <v>89</v>
      </c>
    </row>
    <row r="16" spans="1:8" ht="13.8" x14ac:dyDescent="0.25">
      <c r="A16" s="19">
        <v>41946</v>
      </c>
      <c r="B16" s="8">
        <v>97</v>
      </c>
    </row>
    <row r="17" spans="1:2" ht="13.8" x14ac:dyDescent="0.25">
      <c r="A17" s="20">
        <v>44034</v>
      </c>
      <c r="B17" s="8">
        <v>76</v>
      </c>
    </row>
    <row r="18" spans="1:2" ht="13.8" x14ac:dyDescent="0.25">
      <c r="A18" s="19">
        <v>35890</v>
      </c>
      <c r="B18" s="8">
        <v>49</v>
      </c>
    </row>
    <row r="19" spans="1:2" ht="13.8" x14ac:dyDescent="0.25">
      <c r="A19" s="20">
        <v>20761</v>
      </c>
      <c r="B19" s="8">
        <v>46</v>
      </c>
    </row>
    <row r="20" spans="1:2" ht="13.8" x14ac:dyDescent="0.25">
      <c r="A20" s="19">
        <v>34314</v>
      </c>
      <c r="B20" s="8">
        <v>40</v>
      </c>
    </row>
    <row r="21" spans="1:2" ht="13.8" x14ac:dyDescent="0.25">
      <c r="A21" s="20">
        <v>5816</v>
      </c>
      <c r="B21" s="8">
        <v>71</v>
      </c>
    </row>
    <row r="22" spans="1:2" ht="13.8" x14ac:dyDescent="0.25">
      <c r="A22" s="19">
        <v>47186</v>
      </c>
      <c r="B22" s="8">
        <v>72</v>
      </c>
    </row>
    <row r="23" spans="1:2" ht="13.8" x14ac:dyDescent="0.25">
      <c r="A23" s="20">
        <v>24442</v>
      </c>
      <c r="B23" s="8">
        <v>56</v>
      </c>
    </row>
    <row r="24" spans="1:2" ht="13.8" x14ac:dyDescent="0.25">
      <c r="A24" s="19">
        <v>46904</v>
      </c>
      <c r="B24" s="8">
        <v>44</v>
      </c>
    </row>
    <row r="25" spans="1:2" ht="13.8" x14ac:dyDescent="0.25">
      <c r="A25" s="20">
        <v>5130</v>
      </c>
      <c r="B25" s="8">
        <v>90</v>
      </c>
    </row>
    <row r="26" spans="1:2" ht="13.8" x14ac:dyDescent="0.25">
      <c r="A26" s="19">
        <v>15779</v>
      </c>
      <c r="B26" s="8">
        <v>75</v>
      </c>
    </row>
    <row r="27" spans="1:2" ht="13.8" x14ac:dyDescent="0.25">
      <c r="A27" s="20">
        <v>8113</v>
      </c>
      <c r="B27" s="8">
        <v>51</v>
      </c>
    </row>
    <row r="28" spans="1:2" ht="13.8" x14ac:dyDescent="0.25">
      <c r="A28" s="19">
        <v>27383</v>
      </c>
      <c r="B28" s="8">
        <v>65</v>
      </c>
    </row>
    <row r="29" spans="1:2" ht="13.8" x14ac:dyDescent="0.25">
      <c r="A29" s="20">
        <v>49266</v>
      </c>
      <c r="B29" s="8">
        <v>44</v>
      </c>
    </row>
    <row r="30" spans="1:2" ht="13.8" x14ac:dyDescent="0.25">
      <c r="A30" s="19">
        <v>36801</v>
      </c>
      <c r="B30" s="8">
        <v>99</v>
      </c>
    </row>
    <row r="31" spans="1:2" ht="13.8" x14ac:dyDescent="0.25">
      <c r="A31" s="20">
        <v>49814</v>
      </c>
      <c r="B31" s="8">
        <v>76</v>
      </c>
    </row>
    <row r="32" spans="1:2" ht="13.8" x14ac:dyDescent="0.25">
      <c r="A32" s="19">
        <v>14261</v>
      </c>
      <c r="B32" s="8">
        <v>67</v>
      </c>
    </row>
    <row r="33" spans="1:2" ht="13.8" x14ac:dyDescent="0.25">
      <c r="A33" s="20">
        <v>24304</v>
      </c>
      <c r="B33" s="8">
        <v>43</v>
      </c>
    </row>
    <row r="34" spans="1:2" ht="13.8" x14ac:dyDescent="0.25">
      <c r="A34" s="19">
        <v>22279</v>
      </c>
      <c r="B34" s="8">
        <v>96</v>
      </c>
    </row>
    <row r="35" spans="1:2" ht="13.8" x14ac:dyDescent="0.25">
      <c r="A35" s="20">
        <v>9985</v>
      </c>
      <c r="B35" s="8">
        <v>60</v>
      </c>
    </row>
    <row r="36" spans="1:2" ht="13.8" x14ac:dyDescent="0.25">
      <c r="A36" s="19">
        <v>38631</v>
      </c>
      <c r="B36" s="8">
        <v>49</v>
      </c>
    </row>
    <row r="37" spans="1:2" ht="13.8" x14ac:dyDescent="0.25">
      <c r="A37" s="20">
        <v>35971</v>
      </c>
      <c r="B37" s="8">
        <v>69</v>
      </c>
    </row>
    <row r="38" spans="1:2" ht="13.8" x14ac:dyDescent="0.25">
      <c r="A38" s="19">
        <v>11405</v>
      </c>
      <c r="B38" s="8">
        <v>61</v>
      </c>
    </row>
    <row r="39" spans="1:2" ht="13.8" x14ac:dyDescent="0.25">
      <c r="A39" s="20">
        <v>1819</v>
      </c>
      <c r="B39" s="8">
        <v>68</v>
      </c>
    </row>
    <row r="40" spans="1:2" ht="13.8" x14ac:dyDescent="0.25">
      <c r="A40" s="19">
        <v>16478</v>
      </c>
      <c r="B40" s="8">
        <v>97</v>
      </c>
    </row>
    <row r="41" spans="1:2" ht="13.8" x14ac:dyDescent="0.25">
      <c r="A41" s="20">
        <v>40281</v>
      </c>
      <c r="B41" s="8">
        <v>50</v>
      </c>
    </row>
    <row r="42" spans="1:2" ht="13.8" x14ac:dyDescent="0.25">
      <c r="A42" s="19">
        <v>38918</v>
      </c>
      <c r="B42" s="8">
        <v>86</v>
      </c>
    </row>
    <row r="43" spans="1:2" ht="13.8" x14ac:dyDescent="0.25">
      <c r="A43" s="20">
        <v>2914</v>
      </c>
      <c r="B43" s="8">
        <v>74</v>
      </c>
    </row>
    <row r="44" spans="1:2" ht="13.8" x14ac:dyDescent="0.25">
      <c r="A44" s="19">
        <v>27796</v>
      </c>
      <c r="B44" s="8">
        <v>93</v>
      </c>
    </row>
    <row r="45" spans="1:2" ht="13.8" x14ac:dyDescent="0.25">
      <c r="A45" s="20">
        <v>40231</v>
      </c>
      <c r="B45" s="8">
        <v>69</v>
      </c>
    </row>
    <row r="46" spans="1:2" ht="13.8" x14ac:dyDescent="0.25">
      <c r="A46" s="19">
        <v>13127</v>
      </c>
      <c r="B46" s="8">
        <v>92</v>
      </c>
    </row>
    <row r="47" spans="1:2" ht="13.8" x14ac:dyDescent="0.25">
      <c r="A47" s="20">
        <v>3771</v>
      </c>
      <c r="B47" s="8">
        <v>62</v>
      </c>
    </row>
    <row r="48" spans="1:2" ht="13.8" x14ac:dyDescent="0.25">
      <c r="A48" s="19">
        <v>3105</v>
      </c>
      <c r="B48" s="8">
        <v>69</v>
      </c>
    </row>
    <row r="49" spans="1:2" ht="13.8" x14ac:dyDescent="0.25">
      <c r="A49" s="20">
        <v>34411</v>
      </c>
      <c r="B49" s="8">
        <v>98</v>
      </c>
    </row>
    <row r="50" spans="1:2" ht="13.8" x14ac:dyDescent="0.25">
      <c r="A50" s="19">
        <v>20554</v>
      </c>
      <c r="B50" s="8">
        <v>41</v>
      </c>
    </row>
    <row r="51" spans="1:2" ht="13.8" x14ac:dyDescent="0.25">
      <c r="A51" s="20">
        <v>13428</v>
      </c>
      <c r="B51" s="8">
        <v>72</v>
      </c>
    </row>
    <row r="52" spans="1:2" ht="13.8" x14ac:dyDescent="0.25">
      <c r="A52" s="19">
        <v>34191</v>
      </c>
      <c r="B52" s="8">
        <v>91</v>
      </c>
    </row>
    <row r="53" spans="1:2" ht="13.8" x14ac:dyDescent="0.25">
      <c r="A53" s="20">
        <v>13781</v>
      </c>
      <c r="B53" s="8">
        <v>79</v>
      </c>
    </row>
    <row r="54" spans="1:2" ht="13.8" x14ac:dyDescent="0.25">
      <c r="A54" s="19">
        <v>28066</v>
      </c>
      <c r="B54" s="8">
        <v>90</v>
      </c>
    </row>
    <row r="55" spans="1:2" ht="13.8" x14ac:dyDescent="0.25">
      <c r="A55" s="20">
        <v>23554</v>
      </c>
      <c r="B55" s="8">
        <v>68</v>
      </c>
    </row>
    <row r="56" spans="1:2" ht="13.8" x14ac:dyDescent="0.25">
      <c r="A56" s="19">
        <v>44740</v>
      </c>
      <c r="B56" s="8">
        <v>96</v>
      </c>
    </row>
    <row r="57" spans="1:2" ht="13.8" x14ac:dyDescent="0.25">
      <c r="A57" s="20">
        <v>1200</v>
      </c>
      <c r="B57" s="8">
        <v>85</v>
      </c>
    </row>
    <row r="58" spans="1:2" ht="13.8" x14ac:dyDescent="0.25">
      <c r="A58" s="19">
        <v>41781</v>
      </c>
      <c r="B58" s="8">
        <v>66</v>
      </c>
    </row>
    <row r="59" spans="1:2" ht="13.8" x14ac:dyDescent="0.25">
      <c r="A59" s="20">
        <v>49234</v>
      </c>
      <c r="B59" s="8">
        <v>73</v>
      </c>
    </row>
    <row r="60" spans="1:2" ht="13.8" x14ac:dyDescent="0.25">
      <c r="A60" s="19">
        <v>45845</v>
      </c>
      <c r="B60" s="8">
        <v>57</v>
      </c>
    </row>
    <row r="61" spans="1:2" ht="13.8" x14ac:dyDescent="0.25">
      <c r="A61" s="20">
        <v>11201</v>
      </c>
      <c r="B61" s="8">
        <v>59</v>
      </c>
    </row>
    <row r="62" spans="1:2" ht="13.8" x14ac:dyDescent="0.25">
      <c r="A62" s="19">
        <v>41165</v>
      </c>
      <c r="B62" s="8">
        <v>57</v>
      </c>
    </row>
    <row r="63" spans="1:2" ht="13.8" x14ac:dyDescent="0.25">
      <c r="A63" s="20">
        <v>35207</v>
      </c>
      <c r="B63" s="8">
        <v>79</v>
      </c>
    </row>
    <row r="64" spans="1:2" ht="13.8" x14ac:dyDescent="0.25">
      <c r="A64" s="19">
        <v>3670</v>
      </c>
      <c r="B64" s="8">
        <v>63</v>
      </c>
    </row>
    <row r="65" spans="1:2" ht="13.8" x14ac:dyDescent="0.25">
      <c r="A65" s="20">
        <v>28055</v>
      </c>
      <c r="B65" s="8">
        <v>63</v>
      </c>
    </row>
    <row r="66" spans="1:2" ht="13.8" x14ac:dyDescent="0.25">
      <c r="A66" s="19">
        <v>41914</v>
      </c>
      <c r="B66" s="8">
        <v>54</v>
      </c>
    </row>
    <row r="67" spans="1:2" ht="13.8" x14ac:dyDescent="0.25">
      <c r="A67" s="20">
        <v>10240</v>
      </c>
      <c r="B67" s="8">
        <v>87</v>
      </c>
    </row>
    <row r="68" spans="1:2" ht="13.8" x14ac:dyDescent="0.25">
      <c r="A68" s="19">
        <v>40255</v>
      </c>
      <c r="B68" s="8">
        <v>48</v>
      </c>
    </row>
    <row r="69" spans="1:2" ht="13.8" x14ac:dyDescent="0.25">
      <c r="A69" s="20">
        <v>31040</v>
      </c>
      <c r="B69" s="8">
        <v>62</v>
      </c>
    </row>
    <row r="70" spans="1:2" ht="13.8" x14ac:dyDescent="0.25">
      <c r="A70" s="19">
        <v>6841</v>
      </c>
      <c r="B70" s="8">
        <v>89</v>
      </c>
    </row>
    <row r="71" spans="1:2" ht="13.8" x14ac:dyDescent="0.25">
      <c r="A71" s="20">
        <v>28794</v>
      </c>
      <c r="B71" s="8">
        <v>93</v>
      </c>
    </row>
    <row r="72" spans="1:2" ht="13.8" x14ac:dyDescent="0.25">
      <c r="A72" s="19">
        <v>34770</v>
      </c>
      <c r="B72" s="8">
        <v>44</v>
      </c>
    </row>
    <row r="73" spans="1:2" ht="13.8" x14ac:dyDescent="0.25">
      <c r="A73" s="20">
        <v>46175</v>
      </c>
      <c r="B73" s="8">
        <v>71</v>
      </c>
    </row>
    <row r="74" spans="1:2" ht="13.8" x14ac:dyDescent="0.25">
      <c r="A74" s="19">
        <v>20280</v>
      </c>
      <c r="B74" s="8">
        <v>41</v>
      </c>
    </row>
    <row r="75" spans="1:2" ht="13.8" x14ac:dyDescent="0.25">
      <c r="A75" s="20">
        <v>4850</v>
      </c>
      <c r="B75" s="8">
        <v>75</v>
      </c>
    </row>
    <row r="76" spans="1:2" ht="13.8" x14ac:dyDescent="0.25">
      <c r="A76" s="19">
        <v>41924</v>
      </c>
      <c r="B76" s="8">
        <v>97</v>
      </c>
    </row>
    <row r="77" spans="1:2" ht="13.8" x14ac:dyDescent="0.25">
      <c r="A77" s="20">
        <v>48016</v>
      </c>
      <c r="B77" s="8">
        <v>94</v>
      </c>
    </row>
    <row r="78" spans="1:2" ht="13.8" x14ac:dyDescent="0.25">
      <c r="A78" s="19">
        <v>2327</v>
      </c>
      <c r="B78" s="8">
        <v>80</v>
      </c>
    </row>
    <row r="79" spans="1:2" ht="13.8" x14ac:dyDescent="0.25">
      <c r="A79" s="20">
        <v>30512</v>
      </c>
      <c r="B79" s="8">
        <v>72</v>
      </c>
    </row>
    <row r="80" spans="1:2" ht="13.8" x14ac:dyDescent="0.25">
      <c r="A80" s="19">
        <v>15083</v>
      </c>
      <c r="B80" s="8">
        <v>84</v>
      </c>
    </row>
    <row r="81" spans="1:2" ht="13.8" x14ac:dyDescent="0.25">
      <c r="A81" s="20">
        <v>44318</v>
      </c>
      <c r="B81" s="8">
        <v>99</v>
      </c>
    </row>
    <row r="82" spans="1:2" ht="13.8" x14ac:dyDescent="0.25">
      <c r="A82" s="19">
        <v>40691</v>
      </c>
      <c r="B82" s="8">
        <v>58</v>
      </c>
    </row>
    <row r="83" spans="1:2" ht="13.8" x14ac:dyDescent="0.25">
      <c r="A83" s="20">
        <v>1282</v>
      </c>
      <c r="B83" s="8">
        <v>69</v>
      </c>
    </row>
    <row r="84" spans="1:2" ht="13.8" x14ac:dyDescent="0.25">
      <c r="A84" s="19">
        <v>21942</v>
      </c>
      <c r="B84" s="8">
        <v>90</v>
      </c>
    </row>
    <row r="85" spans="1:2" ht="13.8" x14ac:dyDescent="0.25">
      <c r="A85" s="20">
        <v>40700</v>
      </c>
      <c r="B85" s="8">
        <v>78</v>
      </c>
    </row>
    <row r="86" spans="1:2" ht="13.8" x14ac:dyDescent="0.25">
      <c r="A86" s="19">
        <v>23043</v>
      </c>
      <c r="B86" s="8">
        <v>63</v>
      </c>
    </row>
    <row r="87" spans="1:2" ht="13.8" x14ac:dyDescent="0.25">
      <c r="A87" s="20">
        <v>26714</v>
      </c>
      <c r="B87" s="8">
        <v>43</v>
      </c>
    </row>
    <row r="88" spans="1:2" ht="13.8" x14ac:dyDescent="0.25">
      <c r="A88" s="19">
        <v>41465</v>
      </c>
      <c r="B88" s="8">
        <v>89</v>
      </c>
    </row>
    <row r="89" spans="1:2" ht="13.8" x14ac:dyDescent="0.25">
      <c r="A89" s="20">
        <v>32002</v>
      </c>
      <c r="B89" s="8">
        <v>42</v>
      </c>
    </row>
    <row r="90" spans="1:2" ht="13.8" x14ac:dyDescent="0.25">
      <c r="A90" s="19">
        <v>37797</v>
      </c>
      <c r="B90" s="8">
        <v>48</v>
      </c>
    </row>
    <row r="91" spans="1:2" ht="13.8" x14ac:dyDescent="0.25">
      <c r="A91" s="20">
        <v>8654</v>
      </c>
      <c r="B91" s="8">
        <v>76</v>
      </c>
    </row>
    <row r="92" spans="1:2" ht="13.8" x14ac:dyDescent="0.25">
      <c r="A92" s="19">
        <v>1766</v>
      </c>
      <c r="B92" s="8">
        <v>50</v>
      </c>
    </row>
    <row r="93" spans="1:2" ht="13.8" x14ac:dyDescent="0.25">
      <c r="A93" s="20">
        <v>44373</v>
      </c>
      <c r="B93" s="8">
        <v>55</v>
      </c>
    </row>
    <row r="94" spans="1:2" ht="13.8" x14ac:dyDescent="0.25">
      <c r="A94" s="19">
        <v>38238</v>
      </c>
      <c r="B94" s="8">
        <v>79</v>
      </c>
    </row>
    <row r="95" spans="1:2" ht="13.8" x14ac:dyDescent="0.25">
      <c r="A95" s="20">
        <v>15801</v>
      </c>
      <c r="B95" s="8">
        <v>53</v>
      </c>
    </row>
    <row r="96" spans="1:2" ht="13.8" x14ac:dyDescent="0.25">
      <c r="A96" s="19">
        <v>5309</v>
      </c>
      <c r="B96" s="8">
        <v>92</v>
      </c>
    </row>
    <row r="97" spans="1:2" ht="13.8" x14ac:dyDescent="0.25">
      <c r="A97" s="20">
        <v>39635</v>
      </c>
      <c r="B97" s="8">
        <v>97</v>
      </c>
    </row>
    <row r="98" spans="1:2" ht="13.8" x14ac:dyDescent="0.25">
      <c r="A98" s="19">
        <v>33847</v>
      </c>
      <c r="B98" s="8">
        <v>75</v>
      </c>
    </row>
    <row r="99" spans="1:2" ht="13.8" x14ac:dyDescent="0.25">
      <c r="A99" s="20">
        <v>48610</v>
      </c>
      <c r="B99" s="8">
        <v>48</v>
      </c>
    </row>
    <row r="100" spans="1:2" ht="13.8" x14ac:dyDescent="0.25">
      <c r="A100" s="19">
        <v>38468</v>
      </c>
      <c r="B100" s="8">
        <v>50</v>
      </c>
    </row>
    <row r="101" spans="1:2" ht="13.8" x14ac:dyDescent="0.25">
      <c r="A101" s="20">
        <v>2358</v>
      </c>
      <c r="B101" s="8">
        <v>93</v>
      </c>
    </row>
    <row r="102" spans="1:2" ht="13.8" x14ac:dyDescent="0.25">
      <c r="A102" s="19">
        <v>46541</v>
      </c>
      <c r="B102" s="8">
        <v>82</v>
      </c>
    </row>
    <row r="103" spans="1:2" ht="13.8" x14ac:dyDescent="0.25">
      <c r="A103" s="20">
        <v>44018</v>
      </c>
      <c r="B103" s="8">
        <v>62</v>
      </c>
    </row>
    <row r="104" spans="1:2" ht="13.8" x14ac:dyDescent="0.25">
      <c r="A104" s="19">
        <v>29890</v>
      </c>
      <c r="B104" s="8">
        <v>65</v>
      </c>
    </row>
    <row r="105" spans="1:2" ht="13.8" x14ac:dyDescent="0.25">
      <c r="A105" s="20">
        <v>29664</v>
      </c>
      <c r="B105" s="8">
        <v>44</v>
      </c>
    </row>
    <row r="106" spans="1:2" ht="13.8" x14ac:dyDescent="0.25">
      <c r="A106" s="19">
        <v>3494</v>
      </c>
      <c r="B106" s="8">
        <v>56</v>
      </c>
    </row>
    <row r="107" spans="1:2" ht="13.8" x14ac:dyDescent="0.25">
      <c r="A107" s="20">
        <v>22376</v>
      </c>
      <c r="B107" s="8">
        <v>70</v>
      </c>
    </row>
    <row r="108" spans="1:2" ht="13.8" x14ac:dyDescent="0.25">
      <c r="A108" s="19">
        <v>7821</v>
      </c>
      <c r="B108" s="8">
        <v>51</v>
      </c>
    </row>
    <row r="109" spans="1:2" ht="13.8" x14ac:dyDescent="0.25">
      <c r="A109" s="20">
        <v>1865</v>
      </c>
      <c r="B109" s="8">
        <v>65</v>
      </c>
    </row>
    <row r="110" spans="1:2" ht="13.8" x14ac:dyDescent="0.25">
      <c r="A110" s="19">
        <v>9399</v>
      </c>
      <c r="B110" s="8">
        <v>43</v>
      </c>
    </row>
    <row r="111" spans="1:2" ht="13.8" x14ac:dyDescent="0.25">
      <c r="A111" s="20">
        <v>11310</v>
      </c>
      <c r="B111" s="8">
        <v>45</v>
      </c>
    </row>
    <row r="112" spans="1:2" ht="13.8" x14ac:dyDescent="0.25">
      <c r="A112" s="19">
        <v>20920</v>
      </c>
      <c r="B112" s="8">
        <v>86</v>
      </c>
    </row>
    <row r="113" spans="1:2" ht="13.8" x14ac:dyDescent="0.25">
      <c r="A113" s="20">
        <v>43057</v>
      </c>
      <c r="B113" s="8">
        <v>69</v>
      </c>
    </row>
    <row r="114" spans="1:2" ht="13.8" x14ac:dyDescent="0.25">
      <c r="A114" s="19">
        <v>26325</v>
      </c>
      <c r="B114" s="8">
        <v>56</v>
      </c>
    </row>
    <row r="115" spans="1:2" ht="13.8" x14ac:dyDescent="0.25">
      <c r="A115" s="20">
        <v>36192</v>
      </c>
      <c r="B115" s="8">
        <v>70</v>
      </c>
    </row>
    <row r="116" spans="1:2" ht="13.8" x14ac:dyDescent="0.25">
      <c r="A116" s="19">
        <v>29701</v>
      </c>
      <c r="B116" s="8">
        <v>93</v>
      </c>
    </row>
    <row r="117" spans="1:2" ht="13.8" x14ac:dyDescent="0.25">
      <c r="A117" s="20">
        <v>8180</v>
      </c>
      <c r="B117" s="8">
        <v>74</v>
      </c>
    </row>
    <row r="118" spans="1:2" ht="13.8" x14ac:dyDescent="0.25">
      <c r="A118" s="19">
        <v>33368</v>
      </c>
      <c r="B118" s="8">
        <v>89</v>
      </c>
    </row>
    <row r="119" spans="1:2" ht="13.8" x14ac:dyDescent="0.25">
      <c r="A119" s="20">
        <v>38416</v>
      </c>
      <c r="B119" s="8">
        <v>84</v>
      </c>
    </row>
    <row r="120" spans="1:2" ht="13.8" x14ac:dyDescent="0.25">
      <c r="A120" s="19">
        <v>25158</v>
      </c>
      <c r="B120" s="8">
        <v>46</v>
      </c>
    </row>
    <row r="121" spans="1:2" ht="13.8" x14ac:dyDescent="0.25">
      <c r="A121" s="20">
        <v>26282</v>
      </c>
      <c r="B121" s="8">
        <v>87</v>
      </c>
    </row>
    <row r="122" spans="1:2" ht="13.8" x14ac:dyDescent="0.25">
      <c r="A122" s="19">
        <v>33084</v>
      </c>
      <c r="B122" s="8">
        <v>94</v>
      </c>
    </row>
    <row r="123" spans="1:2" ht="13.8" x14ac:dyDescent="0.25">
      <c r="A123" s="20">
        <v>14724</v>
      </c>
      <c r="B123" s="8">
        <v>43</v>
      </c>
    </row>
    <row r="124" spans="1:2" ht="13.8" x14ac:dyDescent="0.25">
      <c r="A124" s="19">
        <v>29045</v>
      </c>
      <c r="B124" s="8">
        <v>98</v>
      </c>
    </row>
    <row r="125" spans="1:2" ht="13.8" x14ac:dyDescent="0.25">
      <c r="A125" s="20">
        <v>31685</v>
      </c>
      <c r="B125" s="8">
        <v>97</v>
      </c>
    </row>
    <row r="126" spans="1:2" ht="13.8" x14ac:dyDescent="0.25">
      <c r="A126" s="19">
        <v>2643</v>
      </c>
      <c r="B126" s="8">
        <v>55</v>
      </c>
    </row>
    <row r="127" spans="1:2" ht="13.8" x14ac:dyDescent="0.25">
      <c r="A127" s="20">
        <v>45940</v>
      </c>
      <c r="B127" s="8">
        <v>82</v>
      </c>
    </row>
    <row r="128" spans="1:2" ht="13.8" x14ac:dyDescent="0.25">
      <c r="A128" s="19">
        <v>24568</v>
      </c>
      <c r="B128" s="8">
        <v>79</v>
      </c>
    </row>
    <row r="129" spans="1:2" ht="13.8" x14ac:dyDescent="0.25">
      <c r="A129" s="20">
        <v>41905</v>
      </c>
      <c r="B129" s="8">
        <v>84</v>
      </c>
    </row>
    <row r="130" spans="1:2" ht="13.8" x14ac:dyDescent="0.25">
      <c r="A130" s="19">
        <v>41918</v>
      </c>
      <c r="B130" s="8">
        <v>45</v>
      </c>
    </row>
    <row r="131" spans="1:2" ht="13.8" x14ac:dyDescent="0.25">
      <c r="A131" s="20">
        <v>22901</v>
      </c>
      <c r="B131" s="8">
        <v>93</v>
      </c>
    </row>
    <row r="132" spans="1:2" ht="13.8" x14ac:dyDescent="0.25">
      <c r="A132" s="19">
        <v>46723</v>
      </c>
      <c r="B132" s="8">
        <v>52</v>
      </c>
    </row>
    <row r="133" spans="1:2" ht="13.8" x14ac:dyDescent="0.25">
      <c r="A133" s="20">
        <v>25826</v>
      </c>
      <c r="B133" s="8">
        <v>100</v>
      </c>
    </row>
    <row r="134" spans="1:2" ht="13.8" x14ac:dyDescent="0.25">
      <c r="A134" s="19">
        <v>11052</v>
      </c>
      <c r="B134" s="8">
        <v>50</v>
      </c>
    </row>
    <row r="135" spans="1:2" ht="13.8" x14ac:dyDescent="0.25">
      <c r="A135" s="20">
        <v>44649</v>
      </c>
      <c r="B135" s="8">
        <v>76</v>
      </c>
    </row>
    <row r="136" spans="1:2" ht="13.8" x14ac:dyDescent="0.25">
      <c r="A136" s="19">
        <v>46493</v>
      </c>
      <c r="B136" s="8">
        <v>73</v>
      </c>
    </row>
    <row r="137" spans="1:2" ht="13.8" x14ac:dyDescent="0.25">
      <c r="A137" s="20">
        <v>21118</v>
      </c>
      <c r="B137" s="8">
        <v>87</v>
      </c>
    </row>
    <row r="138" spans="1:2" ht="13.8" x14ac:dyDescent="0.25">
      <c r="A138" s="19">
        <v>28372</v>
      </c>
      <c r="B138" s="8">
        <v>100</v>
      </c>
    </row>
    <row r="139" spans="1:2" ht="13.8" x14ac:dyDescent="0.25">
      <c r="A139" s="20">
        <v>31172</v>
      </c>
      <c r="B139" s="8">
        <v>76</v>
      </c>
    </row>
    <row r="140" spans="1:2" ht="13.8" x14ac:dyDescent="0.25">
      <c r="A140" s="19">
        <v>48016</v>
      </c>
      <c r="B140" s="8">
        <v>67</v>
      </c>
    </row>
    <row r="141" spans="1:2" ht="13.8" x14ac:dyDescent="0.25">
      <c r="A141" s="20">
        <v>13762</v>
      </c>
      <c r="B141" s="8">
        <v>63</v>
      </c>
    </row>
    <row r="142" spans="1:2" ht="13.8" x14ac:dyDescent="0.25">
      <c r="A142" s="19">
        <v>15775</v>
      </c>
      <c r="B142" s="8">
        <v>73</v>
      </c>
    </row>
    <row r="143" spans="1:2" ht="13.8" x14ac:dyDescent="0.25">
      <c r="A143" s="20">
        <v>16759</v>
      </c>
      <c r="B143" s="8">
        <v>85</v>
      </c>
    </row>
    <row r="144" spans="1:2" ht="13.8" x14ac:dyDescent="0.25">
      <c r="A144" s="19">
        <v>32442</v>
      </c>
      <c r="B144" s="8">
        <v>99</v>
      </c>
    </row>
    <row r="145" spans="1:2" ht="13.8" x14ac:dyDescent="0.25">
      <c r="A145" s="20">
        <v>48740</v>
      </c>
      <c r="B145" s="8">
        <v>44</v>
      </c>
    </row>
    <row r="146" spans="1:2" ht="13.8" x14ac:dyDescent="0.25">
      <c r="A146" s="19">
        <v>49646</v>
      </c>
      <c r="B146" s="8">
        <v>45</v>
      </c>
    </row>
    <row r="147" spans="1:2" ht="13.8" x14ac:dyDescent="0.25">
      <c r="A147" s="20">
        <v>32669</v>
      </c>
      <c r="B147" s="8">
        <v>56</v>
      </c>
    </row>
    <row r="148" spans="1:2" ht="13.8" x14ac:dyDescent="0.25">
      <c r="A148" s="19">
        <v>5508</v>
      </c>
      <c r="B148" s="8">
        <v>52</v>
      </c>
    </row>
    <row r="149" spans="1:2" ht="13.8" x14ac:dyDescent="0.25">
      <c r="A149" s="20">
        <v>30659</v>
      </c>
      <c r="B149" s="8">
        <v>49</v>
      </c>
    </row>
    <row r="150" spans="1:2" ht="13.8" x14ac:dyDescent="0.25">
      <c r="A150" s="19">
        <v>43235</v>
      </c>
      <c r="B150" s="8">
        <v>56</v>
      </c>
    </row>
    <row r="151" spans="1:2" ht="13.8" x14ac:dyDescent="0.25">
      <c r="A151" s="20">
        <v>33055</v>
      </c>
      <c r="B151" s="8">
        <v>64</v>
      </c>
    </row>
    <row r="152" spans="1:2" ht="13.8" x14ac:dyDescent="0.25">
      <c r="A152" s="19">
        <v>2509</v>
      </c>
      <c r="B152" s="8">
        <v>99</v>
      </c>
    </row>
    <row r="153" spans="1:2" ht="13.8" x14ac:dyDescent="0.25">
      <c r="A153" s="20">
        <v>33571</v>
      </c>
      <c r="B153" s="8">
        <v>65</v>
      </c>
    </row>
    <row r="154" spans="1:2" ht="13.8" x14ac:dyDescent="0.25">
      <c r="A154" s="19">
        <v>31374</v>
      </c>
      <c r="B154" s="8">
        <v>66</v>
      </c>
    </row>
    <row r="155" spans="1:2" ht="13.8" x14ac:dyDescent="0.25">
      <c r="A155" s="20">
        <v>48081</v>
      </c>
      <c r="B155" s="8">
        <v>82</v>
      </c>
    </row>
    <row r="156" spans="1:2" ht="13.8" x14ac:dyDescent="0.25">
      <c r="A156" s="19">
        <v>23310</v>
      </c>
      <c r="B156" s="8">
        <v>96</v>
      </c>
    </row>
    <row r="157" spans="1:2" ht="13.8" x14ac:dyDescent="0.25">
      <c r="A157" s="20">
        <v>42067</v>
      </c>
      <c r="B157" s="8">
        <v>67</v>
      </c>
    </row>
    <row r="158" spans="1:2" ht="13.8" x14ac:dyDescent="0.25">
      <c r="A158" s="19">
        <v>30074</v>
      </c>
      <c r="B158" s="8">
        <v>83</v>
      </c>
    </row>
    <row r="159" spans="1:2" ht="13.8" x14ac:dyDescent="0.25">
      <c r="A159" s="20">
        <v>20465</v>
      </c>
      <c r="B159" s="8">
        <v>77</v>
      </c>
    </row>
    <row r="160" spans="1:2" ht="13.8" x14ac:dyDescent="0.25">
      <c r="A160" s="19">
        <v>14157</v>
      </c>
      <c r="B160" s="8">
        <v>55</v>
      </c>
    </row>
    <row r="161" spans="1:2" ht="13.8" x14ac:dyDescent="0.25">
      <c r="A161" s="20">
        <v>21976</v>
      </c>
      <c r="B161" s="8">
        <v>76</v>
      </c>
    </row>
    <row r="162" spans="1:2" ht="13.8" x14ac:dyDescent="0.25">
      <c r="A162" s="19">
        <v>18527</v>
      </c>
      <c r="B162" s="8">
        <v>73</v>
      </c>
    </row>
    <row r="163" spans="1:2" ht="13.8" x14ac:dyDescent="0.25">
      <c r="A163" s="20">
        <v>31145</v>
      </c>
      <c r="B163" s="8">
        <v>51</v>
      </c>
    </row>
    <row r="164" spans="1:2" ht="13.8" x14ac:dyDescent="0.25">
      <c r="A164" s="19">
        <v>46545</v>
      </c>
      <c r="B164" s="8">
        <v>85</v>
      </c>
    </row>
    <row r="165" spans="1:2" ht="13.8" x14ac:dyDescent="0.25">
      <c r="A165" s="20">
        <v>46588</v>
      </c>
      <c r="B165" s="8">
        <v>64</v>
      </c>
    </row>
    <row r="166" spans="1:2" ht="13.8" x14ac:dyDescent="0.25">
      <c r="A166" s="19">
        <v>43484</v>
      </c>
      <c r="B166" s="8">
        <v>94</v>
      </c>
    </row>
    <row r="167" spans="1:2" ht="13.8" x14ac:dyDescent="0.25">
      <c r="A167" s="20">
        <v>42412</v>
      </c>
      <c r="B167" s="8">
        <v>98</v>
      </c>
    </row>
    <row r="168" spans="1:2" ht="13.8" x14ac:dyDescent="0.25">
      <c r="A168" s="19">
        <v>23208</v>
      </c>
      <c r="B168" s="8">
        <v>72</v>
      </c>
    </row>
    <row r="169" spans="1:2" ht="13.8" x14ac:dyDescent="0.25">
      <c r="A169" s="20">
        <v>36108</v>
      </c>
      <c r="B169" s="8">
        <v>100</v>
      </c>
    </row>
    <row r="170" spans="1:2" ht="13.8" x14ac:dyDescent="0.25">
      <c r="A170" s="19">
        <v>11512</v>
      </c>
      <c r="B170" s="8">
        <v>89</v>
      </c>
    </row>
    <row r="171" spans="1:2" ht="13.8" x14ac:dyDescent="0.25">
      <c r="A171" s="20">
        <v>36694</v>
      </c>
      <c r="B171" s="8">
        <v>80</v>
      </c>
    </row>
    <row r="172" spans="1:2" ht="13.8" x14ac:dyDescent="0.25">
      <c r="A172" s="19">
        <v>33068</v>
      </c>
      <c r="B172" s="8">
        <v>80</v>
      </c>
    </row>
    <row r="173" spans="1:2" ht="13.8" x14ac:dyDescent="0.25">
      <c r="A173" s="20">
        <v>7624</v>
      </c>
      <c r="B173" s="8">
        <v>43</v>
      </c>
    </row>
    <row r="174" spans="1:2" ht="13.8" x14ac:dyDescent="0.25">
      <c r="A174" s="19">
        <v>44698</v>
      </c>
      <c r="B174" s="8">
        <v>51</v>
      </c>
    </row>
    <row r="175" spans="1:2" ht="13.8" x14ac:dyDescent="0.25">
      <c r="A175" s="20">
        <v>35296</v>
      </c>
      <c r="B175" s="8">
        <v>69</v>
      </c>
    </row>
    <row r="176" spans="1:2" ht="13.8" x14ac:dyDescent="0.25">
      <c r="A176" s="19">
        <v>759</v>
      </c>
      <c r="B176" s="8">
        <v>52</v>
      </c>
    </row>
    <row r="177" spans="1:2" ht="13.8" x14ac:dyDescent="0.25">
      <c r="A177" s="20">
        <v>6477</v>
      </c>
      <c r="B177" s="8">
        <v>52</v>
      </c>
    </row>
    <row r="178" spans="1:2" ht="13.8" x14ac:dyDescent="0.25">
      <c r="A178" s="19">
        <v>40953</v>
      </c>
      <c r="B178" s="8">
        <v>96</v>
      </c>
    </row>
    <row r="179" spans="1:2" ht="13.8" x14ac:dyDescent="0.25">
      <c r="A179" s="20">
        <v>29873</v>
      </c>
      <c r="B179" s="8">
        <v>81</v>
      </c>
    </row>
    <row r="180" spans="1:2" ht="13.8" x14ac:dyDescent="0.25">
      <c r="A180" s="19">
        <v>6874</v>
      </c>
      <c r="B180" s="8">
        <v>70</v>
      </c>
    </row>
    <row r="181" spans="1:2" ht="13.8" x14ac:dyDescent="0.25">
      <c r="A181" s="20">
        <v>4823</v>
      </c>
      <c r="B181" s="8">
        <v>60</v>
      </c>
    </row>
    <row r="182" spans="1:2" ht="13.8" x14ac:dyDescent="0.25">
      <c r="A182" s="19">
        <v>41947</v>
      </c>
      <c r="B182" s="8">
        <v>67</v>
      </c>
    </row>
    <row r="183" spans="1:2" ht="13.8" x14ac:dyDescent="0.25">
      <c r="A183" s="20">
        <v>23963</v>
      </c>
      <c r="B183" s="8">
        <v>72</v>
      </c>
    </row>
    <row r="184" spans="1:2" ht="13.8" x14ac:dyDescent="0.25">
      <c r="A184" s="19">
        <v>25282</v>
      </c>
      <c r="B184" s="8">
        <v>56</v>
      </c>
    </row>
    <row r="185" spans="1:2" ht="13.8" x14ac:dyDescent="0.25">
      <c r="A185" s="20">
        <v>23973</v>
      </c>
      <c r="B185" s="8">
        <v>70</v>
      </c>
    </row>
    <row r="186" spans="1:2" ht="13.8" x14ac:dyDescent="0.25">
      <c r="A186" s="19">
        <v>33970</v>
      </c>
      <c r="B186" s="8">
        <v>79</v>
      </c>
    </row>
    <row r="187" spans="1:2" ht="13.8" x14ac:dyDescent="0.25">
      <c r="A187" s="20">
        <v>12278</v>
      </c>
      <c r="B187" s="8">
        <v>74.5</v>
      </c>
    </row>
    <row r="188" spans="1:2" ht="13.8" x14ac:dyDescent="0.25">
      <c r="A188" s="19">
        <v>555</v>
      </c>
      <c r="B188" s="8">
        <v>68</v>
      </c>
    </row>
    <row r="189" spans="1:2" ht="13.8" x14ac:dyDescent="0.25">
      <c r="A189" s="20">
        <v>17968</v>
      </c>
      <c r="B189" s="8">
        <v>92</v>
      </c>
    </row>
    <row r="190" spans="1:2" ht="13.8" x14ac:dyDescent="0.25">
      <c r="A190" s="19">
        <v>29160</v>
      </c>
      <c r="B190" s="8">
        <v>86</v>
      </c>
    </row>
    <row r="191" spans="1:2" ht="13.8" x14ac:dyDescent="0.25">
      <c r="A191" s="20">
        <v>35204</v>
      </c>
      <c r="B191" s="8">
        <v>54</v>
      </c>
    </row>
    <row r="192" spans="1:2" ht="13.8" x14ac:dyDescent="0.25">
      <c r="A192" s="19">
        <v>23767</v>
      </c>
      <c r="B192" s="8">
        <v>85</v>
      </c>
    </row>
    <row r="193" spans="1:2" ht="13.8" x14ac:dyDescent="0.25">
      <c r="A193" s="20">
        <v>29413</v>
      </c>
      <c r="B193" s="8">
        <v>50</v>
      </c>
    </row>
    <row r="194" spans="1:2" ht="13.8" x14ac:dyDescent="0.25">
      <c r="A194" s="19">
        <v>34628</v>
      </c>
      <c r="B194" s="8">
        <v>50</v>
      </c>
    </row>
    <row r="195" spans="1:2" ht="13.8" x14ac:dyDescent="0.25">
      <c r="A195" s="20">
        <v>44764</v>
      </c>
      <c r="B195" s="8">
        <v>56</v>
      </c>
    </row>
    <row r="196" spans="1:2" ht="13.8" x14ac:dyDescent="0.25">
      <c r="A196" s="19">
        <v>48786</v>
      </c>
      <c r="B196" s="8">
        <v>68</v>
      </c>
    </row>
    <row r="197" spans="1:2" ht="13.8" x14ac:dyDescent="0.25">
      <c r="A197" s="20">
        <v>32174</v>
      </c>
      <c r="B197" s="8">
        <v>75</v>
      </c>
    </row>
    <row r="198" spans="1:2" ht="13.8" x14ac:dyDescent="0.25">
      <c r="A198" s="19">
        <v>9611</v>
      </c>
      <c r="B198" s="8">
        <v>49</v>
      </c>
    </row>
    <row r="199" spans="1:2" ht="13.8" x14ac:dyDescent="0.25">
      <c r="A199" s="20">
        <v>17629</v>
      </c>
      <c r="B199" s="8">
        <v>69</v>
      </c>
    </row>
    <row r="200" spans="1:2" ht="13.8" x14ac:dyDescent="0.25">
      <c r="A200" s="19">
        <v>45114</v>
      </c>
      <c r="B200" s="8">
        <v>61</v>
      </c>
    </row>
    <row r="201" spans="1:2" ht="13.8" x14ac:dyDescent="0.25">
      <c r="A201" s="20">
        <v>29890</v>
      </c>
      <c r="B201" s="8">
        <v>98</v>
      </c>
    </row>
    <row r="202" spans="1:2" ht="13.8" x14ac:dyDescent="0.25">
      <c r="A202" s="19">
        <v>36311</v>
      </c>
      <c r="B202" s="8">
        <v>71</v>
      </c>
    </row>
    <row r="203" spans="1:2" ht="13.8" x14ac:dyDescent="0.25">
      <c r="A203" s="20">
        <v>13027</v>
      </c>
      <c r="B203" s="8">
        <v>74</v>
      </c>
    </row>
    <row r="204" spans="1:2" ht="13.8" x14ac:dyDescent="0.25">
      <c r="A204" s="19">
        <v>3985</v>
      </c>
      <c r="B204" s="8">
        <v>43</v>
      </c>
    </row>
    <row r="205" spans="1:2" ht="13.8" x14ac:dyDescent="0.25">
      <c r="A205" s="20">
        <v>36396</v>
      </c>
      <c r="B205" s="8">
        <v>95</v>
      </c>
    </row>
    <row r="206" spans="1:2" ht="13.8" x14ac:dyDescent="0.25">
      <c r="A206" s="19">
        <v>29881</v>
      </c>
      <c r="B206" s="8">
        <v>64</v>
      </c>
    </row>
    <row r="207" spans="1:2" ht="13.8" x14ac:dyDescent="0.25">
      <c r="A207" s="20">
        <v>28431</v>
      </c>
      <c r="B207" s="8">
        <v>46</v>
      </c>
    </row>
    <row r="208" spans="1:2" ht="13.8" x14ac:dyDescent="0.25">
      <c r="A208" s="19">
        <v>30252</v>
      </c>
      <c r="B208" s="8">
        <v>54</v>
      </c>
    </row>
    <row r="209" spans="1:2" ht="13.8" x14ac:dyDescent="0.25">
      <c r="A209" s="20">
        <v>36369</v>
      </c>
      <c r="B209" s="8">
        <v>94</v>
      </c>
    </row>
    <row r="210" spans="1:2" ht="13.8" x14ac:dyDescent="0.25">
      <c r="A210" s="19">
        <v>12553</v>
      </c>
      <c r="B210" s="8">
        <v>91</v>
      </c>
    </row>
    <row r="211" spans="1:2" ht="13.8" x14ac:dyDescent="0.25">
      <c r="A211" s="20">
        <v>40093</v>
      </c>
      <c r="B211" s="8">
        <v>45</v>
      </c>
    </row>
    <row r="212" spans="1:2" ht="13.8" x14ac:dyDescent="0.25">
      <c r="A212" s="19">
        <v>48879</v>
      </c>
      <c r="B212" s="8">
        <v>48</v>
      </c>
    </row>
    <row r="213" spans="1:2" ht="13.8" x14ac:dyDescent="0.25">
      <c r="A213" s="20">
        <v>39615</v>
      </c>
      <c r="B213" s="8">
        <v>71</v>
      </c>
    </row>
    <row r="214" spans="1:2" ht="13.8" x14ac:dyDescent="0.25">
      <c r="A214" s="19">
        <v>10720</v>
      </c>
      <c r="B214" s="8">
        <v>75</v>
      </c>
    </row>
    <row r="215" spans="1:2" ht="13.8" x14ac:dyDescent="0.25">
      <c r="A215" s="20">
        <v>15150</v>
      </c>
      <c r="B215" s="8">
        <v>84</v>
      </c>
    </row>
    <row r="216" spans="1:2" ht="13.8" x14ac:dyDescent="0.25">
      <c r="A216" s="19">
        <v>4250</v>
      </c>
      <c r="B216" s="8">
        <v>84</v>
      </c>
    </row>
    <row r="217" spans="1:2" ht="13.8" x14ac:dyDescent="0.25">
      <c r="A217" s="20">
        <v>17793</v>
      </c>
      <c r="B217" s="8">
        <v>63</v>
      </c>
    </row>
    <row r="218" spans="1:2" ht="13.8" x14ac:dyDescent="0.25">
      <c r="A218" s="19">
        <v>12457</v>
      </c>
      <c r="B218" s="8">
        <v>93</v>
      </c>
    </row>
    <row r="219" spans="1:2" ht="13.8" x14ac:dyDescent="0.25">
      <c r="A219" s="20">
        <v>37403</v>
      </c>
      <c r="B219" s="8">
        <v>54</v>
      </c>
    </row>
    <row r="220" spans="1:2" ht="13.8" x14ac:dyDescent="0.25">
      <c r="A220" s="19">
        <v>6015</v>
      </c>
      <c r="B220" s="8">
        <v>73</v>
      </c>
    </row>
    <row r="221" spans="1:2" ht="13.8" x14ac:dyDescent="0.25">
      <c r="A221" s="20">
        <v>34473</v>
      </c>
      <c r="B221" s="8">
        <v>88</v>
      </c>
    </row>
    <row r="222" spans="1:2" ht="13.8" x14ac:dyDescent="0.25">
      <c r="A222" s="19">
        <v>36630</v>
      </c>
      <c r="B222" s="8">
        <v>87</v>
      </c>
    </row>
    <row r="223" spans="1:2" ht="13.8" x14ac:dyDescent="0.25">
      <c r="A223" s="20">
        <v>49565</v>
      </c>
      <c r="B223" s="8">
        <v>49</v>
      </c>
    </row>
    <row r="224" spans="1:2" ht="13.8" x14ac:dyDescent="0.25">
      <c r="A224" s="19">
        <v>12006</v>
      </c>
      <c r="B224" s="8">
        <v>84</v>
      </c>
    </row>
    <row r="225" spans="1:2" ht="13.8" x14ac:dyDescent="0.25">
      <c r="A225" s="20">
        <v>27986</v>
      </c>
      <c r="B225" s="8">
        <v>77</v>
      </c>
    </row>
    <row r="226" spans="1:2" ht="13.8" x14ac:dyDescent="0.25">
      <c r="A226" s="19">
        <v>43692</v>
      </c>
      <c r="B226" s="8">
        <v>98</v>
      </c>
    </row>
    <row r="227" spans="1:2" ht="13.8" x14ac:dyDescent="0.25">
      <c r="A227" s="20">
        <v>35779</v>
      </c>
      <c r="B227" s="8">
        <v>59</v>
      </c>
    </row>
    <row r="228" spans="1:2" ht="13.8" x14ac:dyDescent="0.25">
      <c r="A228" s="19">
        <v>29755</v>
      </c>
      <c r="B228" s="8">
        <v>64</v>
      </c>
    </row>
    <row r="229" spans="1:2" ht="13.8" x14ac:dyDescent="0.25">
      <c r="A229" s="20">
        <v>48032</v>
      </c>
      <c r="B229" s="8">
        <v>65</v>
      </c>
    </row>
    <row r="230" spans="1:2" ht="13.8" x14ac:dyDescent="0.25">
      <c r="A230" s="19">
        <v>515</v>
      </c>
      <c r="B230" s="8">
        <v>87</v>
      </c>
    </row>
    <row r="231" spans="1:2" ht="13.8" x14ac:dyDescent="0.25">
      <c r="A231" s="20">
        <v>33708</v>
      </c>
      <c r="B231" s="8">
        <v>97</v>
      </c>
    </row>
    <row r="232" spans="1:2" ht="13.8" x14ac:dyDescent="0.25">
      <c r="A232" s="19">
        <v>8991</v>
      </c>
      <c r="B232" s="8">
        <v>74</v>
      </c>
    </row>
    <row r="233" spans="1:2" ht="13.8" x14ac:dyDescent="0.25">
      <c r="A233" s="20">
        <v>36624</v>
      </c>
      <c r="B233" s="8">
        <v>55</v>
      </c>
    </row>
    <row r="234" spans="1:2" ht="13.8" x14ac:dyDescent="0.25">
      <c r="A234" s="19">
        <v>10993</v>
      </c>
      <c r="B234" s="8">
        <v>46</v>
      </c>
    </row>
    <row r="235" spans="1:2" ht="13.8" x14ac:dyDescent="0.25">
      <c r="A235" s="20">
        <v>22200</v>
      </c>
      <c r="B235" s="8">
        <v>55</v>
      </c>
    </row>
    <row r="236" spans="1:2" ht="13.8" x14ac:dyDescent="0.25">
      <c r="A236" s="19">
        <v>20582</v>
      </c>
      <c r="B236" s="8">
        <v>54</v>
      </c>
    </row>
    <row r="237" spans="1:2" ht="13.8" x14ac:dyDescent="0.25">
      <c r="A237" s="20">
        <v>28280</v>
      </c>
      <c r="B237" s="8">
        <v>45</v>
      </c>
    </row>
    <row r="238" spans="1:2" ht="13.8" x14ac:dyDescent="0.25">
      <c r="A238" s="19">
        <v>37557</v>
      </c>
      <c r="B238" s="8">
        <v>87</v>
      </c>
    </row>
    <row r="239" spans="1:2" ht="13.8" x14ac:dyDescent="0.25">
      <c r="A239" s="20">
        <v>7942</v>
      </c>
      <c r="B239" s="8">
        <v>53</v>
      </c>
    </row>
    <row r="240" spans="1:2" ht="13.8" x14ac:dyDescent="0.25">
      <c r="A240" s="19">
        <v>16575</v>
      </c>
      <c r="B240" s="8">
        <v>100</v>
      </c>
    </row>
    <row r="241" spans="1:2" ht="13.8" x14ac:dyDescent="0.25">
      <c r="A241" s="20">
        <v>40082</v>
      </c>
      <c r="B241" s="8">
        <v>86</v>
      </c>
    </row>
    <row r="242" spans="1:2" ht="13.8" x14ac:dyDescent="0.25">
      <c r="A242" s="19">
        <v>25818</v>
      </c>
      <c r="B242" s="8">
        <v>73</v>
      </c>
    </row>
    <row r="243" spans="1:2" ht="13.8" x14ac:dyDescent="0.25">
      <c r="A243" s="20">
        <v>17305</v>
      </c>
      <c r="B243" s="8">
        <v>88</v>
      </c>
    </row>
    <row r="244" spans="1:2" ht="13.8" x14ac:dyDescent="0.25">
      <c r="A244" s="19">
        <v>31786</v>
      </c>
      <c r="B244" s="8">
        <v>94</v>
      </c>
    </row>
    <row r="245" spans="1:2" ht="13.8" x14ac:dyDescent="0.25">
      <c r="A245" s="20">
        <v>37037</v>
      </c>
      <c r="B245" s="8">
        <v>52</v>
      </c>
    </row>
    <row r="246" spans="1:2" ht="13.8" x14ac:dyDescent="0.25">
      <c r="A246" s="19">
        <v>41469</v>
      </c>
      <c r="B246" s="8">
        <v>96</v>
      </c>
    </row>
    <row r="247" spans="1:2" ht="13.8" x14ac:dyDescent="0.25">
      <c r="A247" s="20">
        <v>31869</v>
      </c>
      <c r="B247" s="8">
        <v>93</v>
      </c>
    </row>
    <row r="248" spans="1:2" ht="13.8" x14ac:dyDescent="0.25">
      <c r="A248" s="19">
        <v>49797</v>
      </c>
      <c r="B248" s="8">
        <v>82</v>
      </c>
    </row>
    <row r="249" spans="1:2" ht="13.8" x14ac:dyDescent="0.25">
      <c r="A249" s="20">
        <v>22677</v>
      </c>
      <c r="B249" s="8">
        <v>62</v>
      </c>
    </row>
    <row r="250" spans="1:2" ht="13.8" x14ac:dyDescent="0.25">
      <c r="A250" s="19">
        <v>14434</v>
      </c>
      <c r="B250" s="8">
        <v>98</v>
      </c>
    </row>
    <row r="251" spans="1:2" ht="13.8" x14ac:dyDescent="0.25">
      <c r="A251" s="20">
        <v>39863</v>
      </c>
      <c r="B251" s="8">
        <v>82</v>
      </c>
    </row>
    <row r="252" spans="1:2" ht="13.8" x14ac:dyDescent="0.25">
      <c r="A252" s="19">
        <v>45155</v>
      </c>
      <c r="B252" s="8">
        <v>69</v>
      </c>
    </row>
    <row r="253" spans="1:2" ht="13.8" x14ac:dyDescent="0.25">
      <c r="A253" s="20">
        <v>11972</v>
      </c>
      <c r="B253" s="8">
        <v>51</v>
      </c>
    </row>
    <row r="254" spans="1:2" ht="13.8" x14ac:dyDescent="0.25">
      <c r="A254" s="19">
        <v>38489</v>
      </c>
      <c r="B254" s="8">
        <v>93</v>
      </c>
    </row>
    <row r="255" spans="1:2" ht="13.8" x14ac:dyDescent="0.25">
      <c r="A255" s="20">
        <v>34702</v>
      </c>
      <c r="B255" s="8">
        <v>59</v>
      </c>
    </row>
    <row r="256" spans="1:2" ht="13.8" x14ac:dyDescent="0.25">
      <c r="A256" s="19">
        <v>19863</v>
      </c>
      <c r="B256" s="8">
        <v>64</v>
      </c>
    </row>
    <row r="257" spans="1:2" ht="13.8" x14ac:dyDescent="0.25">
      <c r="A257" s="20">
        <v>25446</v>
      </c>
      <c r="B257" s="8">
        <v>54</v>
      </c>
    </row>
    <row r="258" spans="1:2" ht="13.8" x14ac:dyDescent="0.25">
      <c r="A258" s="19">
        <v>31499</v>
      </c>
      <c r="B258" s="8">
        <v>42</v>
      </c>
    </row>
    <row r="259" spans="1:2" ht="13.8" x14ac:dyDescent="0.25">
      <c r="A259" s="20">
        <v>19621</v>
      </c>
      <c r="B259" s="8">
        <v>46</v>
      </c>
    </row>
    <row r="260" spans="1:2" ht="13.8" x14ac:dyDescent="0.25">
      <c r="A260" s="19">
        <v>33459</v>
      </c>
      <c r="B260" s="8">
        <v>56</v>
      </c>
    </row>
    <row r="261" spans="1:2" ht="13.8" x14ac:dyDescent="0.25">
      <c r="A261" s="20">
        <v>8490</v>
      </c>
      <c r="B261" s="8">
        <v>80</v>
      </c>
    </row>
    <row r="262" spans="1:2" ht="13.8" x14ac:dyDescent="0.25">
      <c r="A262" s="19">
        <v>5264</v>
      </c>
      <c r="B262" s="8">
        <v>45</v>
      </c>
    </row>
    <row r="263" spans="1:2" ht="13.8" x14ac:dyDescent="0.25">
      <c r="A263" s="20">
        <v>10934</v>
      </c>
      <c r="B263" s="8">
        <v>92</v>
      </c>
    </row>
    <row r="264" spans="1:2" ht="13.8" x14ac:dyDescent="0.25">
      <c r="A264" s="19">
        <v>9701</v>
      </c>
      <c r="B264" s="8">
        <v>97</v>
      </c>
    </row>
    <row r="265" spans="1:2" ht="13.8" x14ac:dyDescent="0.25">
      <c r="A265" s="20">
        <v>11125</v>
      </c>
      <c r="B265" s="8">
        <v>79</v>
      </c>
    </row>
    <row r="266" spans="1:2" ht="13.8" x14ac:dyDescent="0.25">
      <c r="A266" s="19">
        <v>37280</v>
      </c>
      <c r="B266" s="8">
        <v>81</v>
      </c>
    </row>
    <row r="267" spans="1:2" ht="13.8" x14ac:dyDescent="0.25">
      <c r="A267" s="20">
        <v>7255</v>
      </c>
      <c r="B267" s="8">
        <v>96</v>
      </c>
    </row>
    <row r="268" spans="1:2" ht="13.8" x14ac:dyDescent="0.25">
      <c r="A268" s="19">
        <v>14910</v>
      </c>
      <c r="B268" s="8">
        <v>73</v>
      </c>
    </row>
    <row r="269" spans="1:2" ht="13.8" x14ac:dyDescent="0.25">
      <c r="A269" s="20">
        <v>16709</v>
      </c>
      <c r="B269" s="8">
        <v>74</v>
      </c>
    </row>
    <row r="270" spans="1:2" ht="13.8" x14ac:dyDescent="0.25">
      <c r="A270" s="19">
        <v>37841</v>
      </c>
      <c r="B270" s="8">
        <v>57</v>
      </c>
    </row>
    <row r="271" spans="1:2" ht="13.8" x14ac:dyDescent="0.25">
      <c r="A271" s="20">
        <v>15527</v>
      </c>
      <c r="B271" s="8">
        <v>52</v>
      </c>
    </row>
    <row r="272" spans="1:2" ht="13.8" x14ac:dyDescent="0.25">
      <c r="A272" s="19">
        <v>16520</v>
      </c>
      <c r="B272" s="8">
        <v>50</v>
      </c>
    </row>
    <row r="273" spans="1:2" ht="13.8" x14ac:dyDescent="0.25">
      <c r="A273" s="20">
        <v>16556</v>
      </c>
      <c r="B273" s="8">
        <v>54</v>
      </c>
    </row>
    <row r="274" spans="1:2" ht="13.8" x14ac:dyDescent="0.25">
      <c r="A274" s="19">
        <v>23213</v>
      </c>
      <c r="B274" s="8">
        <v>98</v>
      </c>
    </row>
    <row r="275" spans="1:2" ht="13.8" x14ac:dyDescent="0.25">
      <c r="A275" s="20">
        <v>47537</v>
      </c>
      <c r="B275" s="8">
        <v>66</v>
      </c>
    </row>
    <row r="276" spans="1:2" ht="13.8" x14ac:dyDescent="0.25">
      <c r="A276" s="19">
        <v>33416</v>
      </c>
      <c r="B276" s="8">
        <v>93</v>
      </c>
    </row>
    <row r="277" spans="1:2" ht="13.8" x14ac:dyDescent="0.25">
      <c r="A277" s="20">
        <v>13220</v>
      </c>
      <c r="B277" s="8">
        <v>79</v>
      </c>
    </row>
    <row r="278" spans="1:2" ht="13.8" x14ac:dyDescent="0.25">
      <c r="A278" s="19">
        <v>34026</v>
      </c>
      <c r="B278" s="8">
        <v>95</v>
      </c>
    </row>
    <row r="279" spans="1:2" ht="13.8" x14ac:dyDescent="0.25">
      <c r="A279" s="20">
        <v>19392</v>
      </c>
      <c r="B279" s="8">
        <v>64</v>
      </c>
    </row>
    <row r="280" spans="1:2" ht="13.8" x14ac:dyDescent="0.25">
      <c r="A280" s="19">
        <v>38563</v>
      </c>
      <c r="B280" s="8">
        <v>69</v>
      </c>
    </row>
    <row r="281" spans="1:2" ht="13.8" x14ac:dyDescent="0.25">
      <c r="A281" s="20">
        <v>32080</v>
      </c>
      <c r="B281" s="8">
        <v>100</v>
      </c>
    </row>
    <row r="282" spans="1:2" ht="13.8" x14ac:dyDescent="0.25">
      <c r="A282" s="19">
        <v>9701</v>
      </c>
      <c r="B282" s="8">
        <v>92</v>
      </c>
    </row>
    <row r="283" spans="1:2" ht="13.8" x14ac:dyDescent="0.25">
      <c r="A283" s="20">
        <v>31793</v>
      </c>
      <c r="B283" s="8">
        <v>58</v>
      </c>
    </row>
    <row r="284" spans="1:2" ht="13.8" x14ac:dyDescent="0.25">
      <c r="A284" s="19">
        <v>19326</v>
      </c>
      <c r="B284" s="8">
        <v>67</v>
      </c>
    </row>
    <row r="285" spans="1:2" ht="13.8" x14ac:dyDescent="0.25">
      <c r="A285" s="20">
        <v>19700</v>
      </c>
      <c r="B285" s="8">
        <v>72</v>
      </c>
    </row>
    <row r="286" spans="1:2" ht="13.8" x14ac:dyDescent="0.25">
      <c r="A286" s="19">
        <v>31308</v>
      </c>
      <c r="B286" s="8">
        <v>85</v>
      </c>
    </row>
    <row r="287" spans="1:2" ht="13.8" x14ac:dyDescent="0.25">
      <c r="A287" s="20">
        <v>48248</v>
      </c>
      <c r="B287" s="8">
        <v>42</v>
      </c>
    </row>
    <row r="288" spans="1:2" ht="13.8" x14ac:dyDescent="0.25">
      <c r="A288" s="19">
        <v>49597</v>
      </c>
      <c r="B288" s="8">
        <v>64</v>
      </c>
    </row>
    <row r="289" spans="1:2" ht="13.8" x14ac:dyDescent="0.25">
      <c r="A289" s="20">
        <v>49897</v>
      </c>
      <c r="B289" s="8">
        <v>95</v>
      </c>
    </row>
    <row r="290" spans="1:2" ht="13.8" x14ac:dyDescent="0.25">
      <c r="A290" s="19">
        <v>13555</v>
      </c>
      <c r="B290" s="8">
        <v>69</v>
      </c>
    </row>
    <row r="291" spans="1:2" ht="13.8" x14ac:dyDescent="0.25">
      <c r="A291" s="20">
        <v>18947</v>
      </c>
      <c r="B291" s="8">
        <v>73</v>
      </c>
    </row>
    <row r="292" spans="1:2" ht="13.8" x14ac:dyDescent="0.25">
      <c r="A292" s="19">
        <v>11899</v>
      </c>
      <c r="B292" s="8">
        <v>75</v>
      </c>
    </row>
    <row r="293" spans="1:2" ht="13.8" x14ac:dyDescent="0.25">
      <c r="A293" s="20">
        <v>10378</v>
      </c>
      <c r="B293" s="8">
        <v>41</v>
      </c>
    </row>
    <row r="294" spans="1:2" ht="13.8" x14ac:dyDescent="0.25">
      <c r="A294" s="19">
        <v>48049</v>
      </c>
      <c r="B294" s="8">
        <v>88</v>
      </c>
    </row>
    <row r="295" spans="1:2" ht="13.8" x14ac:dyDescent="0.25">
      <c r="A295" s="20">
        <v>19748</v>
      </c>
      <c r="B295" s="8">
        <v>73</v>
      </c>
    </row>
    <row r="296" spans="1:2" ht="13.8" x14ac:dyDescent="0.25">
      <c r="A296" s="19">
        <v>44524</v>
      </c>
      <c r="B296" s="8">
        <v>84</v>
      </c>
    </row>
    <row r="297" spans="1:2" ht="13.8" x14ac:dyDescent="0.25">
      <c r="A297" s="20">
        <v>17159</v>
      </c>
      <c r="B297" s="8">
        <v>82</v>
      </c>
    </row>
    <row r="298" spans="1:2" ht="13.8" x14ac:dyDescent="0.25">
      <c r="A298" s="19">
        <v>45068</v>
      </c>
      <c r="B298" s="8">
        <v>76</v>
      </c>
    </row>
    <row r="299" spans="1:2" ht="13.8" x14ac:dyDescent="0.25">
      <c r="A299" s="20">
        <v>16181</v>
      </c>
      <c r="B299" s="8">
        <v>45</v>
      </c>
    </row>
    <row r="300" spans="1:2" ht="13.8" x14ac:dyDescent="0.25">
      <c r="A300" s="19">
        <v>20127</v>
      </c>
      <c r="B300" s="8">
        <v>98</v>
      </c>
    </row>
    <row r="301" spans="1:2" ht="13.8" x14ac:dyDescent="0.25">
      <c r="A301" s="20">
        <v>8086</v>
      </c>
      <c r="B301" s="8">
        <v>72</v>
      </c>
    </row>
    <row r="302" spans="1:2" ht="13.8" x14ac:dyDescent="0.25">
      <c r="A302" s="19">
        <v>36831</v>
      </c>
      <c r="B302" s="8">
        <v>87</v>
      </c>
    </row>
    <row r="303" spans="1:2" ht="13.8" x14ac:dyDescent="0.25">
      <c r="A303" s="20">
        <v>27369</v>
      </c>
      <c r="B303" s="8">
        <v>83</v>
      </c>
    </row>
    <row r="304" spans="1:2" ht="13.8" x14ac:dyDescent="0.25">
      <c r="A304" s="19">
        <v>17723</v>
      </c>
      <c r="B304" s="8">
        <v>71</v>
      </c>
    </row>
    <row r="305" spans="1:2" ht="13.8" x14ac:dyDescent="0.25">
      <c r="A305" s="20">
        <v>39160</v>
      </c>
      <c r="B305" s="8">
        <v>49</v>
      </c>
    </row>
    <row r="306" spans="1:2" ht="13.8" x14ac:dyDescent="0.25">
      <c r="A306" s="19">
        <v>9773</v>
      </c>
      <c r="B306" s="8">
        <v>71</v>
      </c>
    </row>
    <row r="307" spans="1:2" ht="13.8" x14ac:dyDescent="0.25">
      <c r="A307" s="20">
        <v>28191</v>
      </c>
      <c r="B307" s="8">
        <v>75</v>
      </c>
    </row>
    <row r="308" spans="1:2" ht="13.8" x14ac:dyDescent="0.25">
      <c r="A308" s="19">
        <v>41258</v>
      </c>
      <c r="B308" s="8">
        <v>60</v>
      </c>
    </row>
    <row r="309" spans="1:2" ht="13.8" x14ac:dyDescent="0.25">
      <c r="A309" s="20">
        <v>20888</v>
      </c>
      <c r="B309" s="8">
        <v>52</v>
      </c>
    </row>
    <row r="310" spans="1:2" ht="13.8" x14ac:dyDescent="0.25">
      <c r="A310" s="19">
        <v>44626</v>
      </c>
      <c r="B310" s="8">
        <v>54</v>
      </c>
    </row>
    <row r="311" spans="1:2" ht="13.8" x14ac:dyDescent="0.25">
      <c r="A311" s="20">
        <v>48508</v>
      </c>
      <c r="B311" s="8">
        <v>46</v>
      </c>
    </row>
    <row r="312" spans="1:2" ht="13.8" x14ac:dyDescent="0.25">
      <c r="A312" s="19">
        <v>7551</v>
      </c>
      <c r="B312" s="8">
        <v>68</v>
      </c>
    </row>
    <row r="313" spans="1:2" ht="13.8" x14ac:dyDescent="0.25">
      <c r="A313" s="20">
        <v>29205</v>
      </c>
      <c r="B313" s="8">
        <v>97</v>
      </c>
    </row>
    <row r="314" spans="1:2" ht="13.8" x14ac:dyDescent="0.25">
      <c r="A314" s="19">
        <v>10326</v>
      </c>
      <c r="B314" s="8">
        <v>55</v>
      </c>
    </row>
    <row r="315" spans="1:2" ht="13.8" x14ac:dyDescent="0.25">
      <c r="A315" s="20">
        <v>38858</v>
      </c>
      <c r="B315" s="8">
        <v>60</v>
      </c>
    </row>
    <row r="316" spans="1:2" ht="13.8" x14ac:dyDescent="0.25">
      <c r="A316" s="19">
        <v>15058</v>
      </c>
      <c r="B316" s="8">
        <v>85</v>
      </c>
    </row>
    <row r="317" spans="1:2" ht="13.8" x14ac:dyDescent="0.25">
      <c r="A317" s="20">
        <v>41962</v>
      </c>
      <c r="B317" s="8">
        <v>71</v>
      </c>
    </row>
    <row r="318" spans="1:2" ht="13.8" x14ac:dyDescent="0.25">
      <c r="A318" s="19">
        <v>35520</v>
      </c>
      <c r="B318" s="8">
        <v>64</v>
      </c>
    </row>
    <row r="319" spans="1:2" ht="13.8" x14ac:dyDescent="0.25">
      <c r="A319" s="20">
        <v>27479</v>
      </c>
      <c r="B319" s="8">
        <v>51</v>
      </c>
    </row>
    <row r="320" spans="1:2" ht="13.8" x14ac:dyDescent="0.25">
      <c r="A320" s="19">
        <v>26139</v>
      </c>
      <c r="B320" s="8">
        <v>85</v>
      </c>
    </row>
    <row r="321" spans="1:2" ht="13.8" x14ac:dyDescent="0.25">
      <c r="A321" s="20">
        <v>9488</v>
      </c>
      <c r="B321" s="8">
        <v>76</v>
      </c>
    </row>
    <row r="322" spans="1:2" ht="13.8" x14ac:dyDescent="0.25">
      <c r="A322" s="19">
        <v>6142</v>
      </c>
      <c r="B322" s="8">
        <v>42</v>
      </c>
    </row>
    <row r="323" spans="1:2" ht="13.8" x14ac:dyDescent="0.25">
      <c r="A323" s="20">
        <v>2926</v>
      </c>
      <c r="B323" s="8">
        <v>72</v>
      </c>
    </row>
    <row r="324" spans="1:2" ht="13.8" x14ac:dyDescent="0.25">
      <c r="A324" s="19">
        <v>45865</v>
      </c>
      <c r="B324" s="8">
        <v>58</v>
      </c>
    </row>
    <row r="325" spans="1:2" ht="13.8" x14ac:dyDescent="0.25">
      <c r="A325" s="20">
        <v>33154</v>
      </c>
      <c r="B325" s="8">
        <v>84</v>
      </c>
    </row>
    <row r="326" spans="1:2" ht="13.8" x14ac:dyDescent="0.25">
      <c r="A326" s="19">
        <v>18576</v>
      </c>
      <c r="B326" s="8">
        <v>58</v>
      </c>
    </row>
    <row r="327" spans="1:2" ht="13.8" x14ac:dyDescent="0.25">
      <c r="A327" s="20">
        <v>21223</v>
      </c>
      <c r="B327" s="8">
        <v>47</v>
      </c>
    </row>
    <row r="328" spans="1:2" ht="13.8" x14ac:dyDescent="0.25">
      <c r="A328" s="19">
        <v>39914</v>
      </c>
      <c r="B328" s="8">
        <v>100</v>
      </c>
    </row>
    <row r="329" spans="1:2" ht="13.8" x14ac:dyDescent="0.25">
      <c r="A329" s="20">
        <v>32143</v>
      </c>
      <c r="B329" s="8">
        <v>41</v>
      </c>
    </row>
    <row r="330" spans="1:2" ht="13.8" x14ac:dyDescent="0.25">
      <c r="A330" s="19">
        <v>42991</v>
      </c>
      <c r="B330" s="8">
        <v>100</v>
      </c>
    </row>
    <row r="331" spans="1:2" ht="13.8" x14ac:dyDescent="0.25">
      <c r="A331" s="20">
        <v>1510</v>
      </c>
      <c r="B331" s="8">
        <v>78</v>
      </c>
    </row>
    <row r="332" spans="1:2" ht="13.8" x14ac:dyDescent="0.25">
      <c r="A332" s="19">
        <v>14967</v>
      </c>
      <c r="B332" s="8">
        <v>40</v>
      </c>
    </row>
    <row r="333" spans="1:2" ht="13.8" x14ac:dyDescent="0.25">
      <c r="A333" s="20">
        <v>11253</v>
      </c>
      <c r="B333" s="8">
        <v>58</v>
      </c>
    </row>
    <row r="334" spans="1:2" ht="13.8" x14ac:dyDescent="0.25">
      <c r="A334" s="19">
        <v>39773</v>
      </c>
      <c r="B334" s="8">
        <v>44</v>
      </c>
    </row>
    <row r="335" spans="1:2" ht="13.8" x14ac:dyDescent="0.25">
      <c r="A335" s="20">
        <v>37209</v>
      </c>
      <c r="B335" s="8">
        <v>60</v>
      </c>
    </row>
    <row r="336" spans="1:2" ht="13.8" x14ac:dyDescent="0.25">
      <c r="A336" s="19">
        <v>35726</v>
      </c>
      <c r="B336" s="8">
        <v>45</v>
      </c>
    </row>
    <row r="337" spans="1:2" ht="13.8" x14ac:dyDescent="0.25">
      <c r="A337" s="20">
        <v>33152</v>
      </c>
      <c r="B337" s="8">
        <v>94</v>
      </c>
    </row>
    <row r="338" spans="1:2" ht="13.8" x14ac:dyDescent="0.25">
      <c r="A338" s="19">
        <v>3573</v>
      </c>
      <c r="B338" s="8">
        <v>87</v>
      </c>
    </row>
    <row r="339" spans="1:2" ht="13.8" x14ac:dyDescent="0.25">
      <c r="A339" s="20">
        <v>8338</v>
      </c>
      <c r="B339" s="8">
        <v>42</v>
      </c>
    </row>
    <row r="340" spans="1:2" ht="13.8" x14ac:dyDescent="0.25">
      <c r="A340" s="19">
        <v>37156</v>
      </c>
      <c r="B340" s="8">
        <v>100</v>
      </c>
    </row>
    <row r="341" spans="1:2" ht="13.8" x14ac:dyDescent="0.25">
      <c r="A341" s="20">
        <v>13011</v>
      </c>
      <c r="B341" s="8">
        <v>79</v>
      </c>
    </row>
    <row r="342" spans="1:2" ht="13.8" x14ac:dyDescent="0.25">
      <c r="A342" s="19">
        <v>9722</v>
      </c>
      <c r="B342" s="8">
        <v>75</v>
      </c>
    </row>
    <row r="343" spans="1:2" ht="13.8" x14ac:dyDescent="0.25">
      <c r="A343" s="20">
        <v>11324</v>
      </c>
      <c r="B343" s="8">
        <v>50</v>
      </c>
    </row>
    <row r="344" spans="1:2" ht="13.8" x14ac:dyDescent="0.25">
      <c r="A344" s="19">
        <v>8991</v>
      </c>
      <c r="B344" s="8">
        <v>91</v>
      </c>
    </row>
    <row r="345" spans="1:2" ht="13.8" x14ac:dyDescent="0.25">
      <c r="A345" s="20">
        <v>33480</v>
      </c>
      <c r="B345" s="8">
        <v>89</v>
      </c>
    </row>
    <row r="346" spans="1:2" ht="13.8" x14ac:dyDescent="0.25">
      <c r="A346" s="19">
        <v>49814</v>
      </c>
      <c r="B346" s="8">
        <v>41</v>
      </c>
    </row>
    <row r="347" spans="1:2" ht="13.8" x14ac:dyDescent="0.25">
      <c r="A347" s="20">
        <v>44048</v>
      </c>
      <c r="B347" s="8">
        <v>62</v>
      </c>
    </row>
    <row r="348" spans="1:2" ht="13.8" x14ac:dyDescent="0.25">
      <c r="A348" s="19">
        <v>2286</v>
      </c>
      <c r="B348" s="8">
        <v>42</v>
      </c>
    </row>
    <row r="349" spans="1:2" ht="13.8" x14ac:dyDescent="0.25">
      <c r="A349" s="20">
        <v>32914</v>
      </c>
      <c r="B349" s="8">
        <v>94</v>
      </c>
    </row>
    <row r="350" spans="1:2" ht="13.8" x14ac:dyDescent="0.25">
      <c r="A350" s="19">
        <v>16954</v>
      </c>
      <c r="B350" s="8">
        <v>99</v>
      </c>
    </row>
    <row r="351" spans="1:2" ht="13.8" x14ac:dyDescent="0.25">
      <c r="A351" s="20">
        <v>6754</v>
      </c>
      <c r="B351" s="8">
        <v>71</v>
      </c>
    </row>
    <row r="352" spans="1:2" ht="13.8" x14ac:dyDescent="0.25">
      <c r="A352" s="19">
        <v>3578</v>
      </c>
      <c r="B352" s="8">
        <v>66</v>
      </c>
    </row>
    <row r="353" spans="1:2" ht="13.8" x14ac:dyDescent="0.25">
      <c r="A353" s="20">
        <v>32571</v>
      </c>
      <c r="B353" s="8">
        <v>47</v>
      </c>
    </row>
    <row r="354" spans="1:2" ht="13.8" x14ac:dyDescent="0.25">
      <c r="A354" s="19">
        <v>42977</v>
      </c>
      <c r="B354" s="8">
        <v>98</v>
      </c>
    </row>
    <row r="355" spans="1:2" ht="13.8" x14ac:dyDescent="0.25">
      <c r="A355" s="20">
        <v>41068</v>
      </c>
      <c r="B355" s="8">
        <v>43</v>
      </c>
    </row>
    <row r="356" spans="1:2" ht="13.8" x14ac:dyDescent="0.25">
      <c r="A356" s="19">
        <v>4045</v>
      </c>
      <c r="B356" s="8">
        <v>52</v>
      </c>
    </row>
    <row r="357" spans="1:2" ht="13.8" x14ac:dyDescent="0.25">
      <c r="A357" s="20">
        <v>12079</v>
      </c>
      <c r="B357" s="8">
        <v>80</v>
      </c>
    </row>
    <row r="358" spans="1:2" ht="13.8" x14ac:dyDescent="0.25">
      <c r="A358" s="19">
        <v>6966</v>
      </c>
      <c r="B358" s="8">
        <v>62</v>
      </c>
    </row>
    <row r="359" spans="1:2" ht="13.8" x14ac:dyDescent="0.25">
      <c r="A359" s="20">
        <v>6236</v>
      </c>
      <c r="B359" s="8">
        <v>78</v>
      </c>
    </row>
    <row r="360" spans="1:2" ht="13.8" x14ac:dyDescent="0.25">
      <c r="A360" s="19">
        <v>26475</v>
      </c>
      <c r="B360" s="8">
        <v>82</v>
      </c>
    </row>
    <row r="361" spans="1:2" ht="13.8" x14ac:dyDescent="0.25">
      <c r="A361" s="20">
        <v>27765</v>
      </c>
      <c r="B361" s="8">
        <v>82</v>
      </c>
    </row>
    <row r="362" spans="1:2" ht="13.8" x14ac:dyDescent="0.25">
      <c r="A362" s="19">
        <v>29351</v>
      </c>
      <c r="B362" s="8">
        <v>78</v>
      </c>
    </row>
    <row r="363" spans="1:2" ht="13.8" x14ac:dyDescent="0.25">
      <c r="A363" s="20">
        <v>11182</v>
      </c>
      <c r="B363" s="8">
        <v>91</v>
      </c>
    </row>
    <row r="364" spans="1:2" ht="13.8" x14ac:dyDescent="0.25">
      <c r="A364" s="19">
        <v>9014</v>
      </c>
      <c r="B364" s="8">
        <v>72</v>
      </c>
    </row>
    <row r="365" spans="1:2" ht="13.8" x14ac:dyDescent="0.25">
      <c r="A365" s="20">
        <v>9464</v>
      </c>
      <c r="B365" s="8">
        <v>43</v>
      </c>
    </row>
    <row r="366" spans="1:2" ht="13.8" x14ac:dyDescent="0.25">
      <c r="A366" s="19">
        <v>47466</v>
      </c>
      <c r="B366" s="8">
        <v>87</v>
      </c>
    </row>
    <row r="367" spans="1:2" ht="13.8" x14ac:dyDescent="0.25">
      <c r="A367" s="20">
        <v>37451</v>
      </c>
      <c r="B367" s="8">
        <v>84</v>
      </c>
    </row>
    <row r="368" spans="1:2" ht="13.8" x14ac:dyDescent="0.25">
      <c r="A368" s="19">
        <v>46397</v>
      </c>
      <c r="B368" s="8">
        <v>43</v>
      </c>
    </row>
    <row r="369" spans="1:2" ht="13.8" x14ac:dyDescent="0.25">
      <c r="A369" s="20">
        <v>7745</v>
      </c>
      <c r="B369" s="8">
        <v>64</v>
      </c>
    </row>
    <row r="370" spans="1:2" ht="13.8" x14ac:dyDescent="0.25">
      <c r="A370" s="19">
        <v>32431</v>
      </c>
      <c r="B370" s="8">
        <v>55</v>
      </c>
    </row>
    <row r="371" spans="1:2" ht="13.8" x14ac:dyDescent="0.25">
      <c r="A371" s="20">
        <v>36679</v>
      </c>
      <c r="B371" s="8">
        <v>82</v>
      </c>
    </row>
    <row r="372" spans="1:2" ht="13.8" x14ac:dyDescent="0.25">
      <c r="A372" s="19">
        <v>15994</v>
      </c>
      <c r="B372" s="8">
        <v>53</v>
      </c>
    </row>
    <row r="373" spans="1:2" ht="13.8" x14ac:dyDescent="0.25">
      <c r="A373" s="20">
        <v>38214</v>
      </c>
      <c r="B373" s="8">
        <v>57</v>
      </c>
    </row>
    <row r="374" spans="1:2" ht="13.8" x14ac:dyDescent="0.25">
      <c r="A374" s="19">
        <v>24234</v>
      </c>
      <c r="B374" s="8">
        <v>71</v>
      </c>
    </row>
    <row r="375" spans="1:2" ht="13.8" x14ac:dyDescent="0.25">
      <c r="A375" s="20">
        <v>15003</v>
      </c>
      <c r="B375" s="8">
        <v>76</v>
      </c>
    </row>
    <row r="376" spans="1:2" ht="13.8" x14ac:dyDescent="0.25">
      <c r="A376" s="19">
        <v>38972</v>
      </c>
      <c r="B376" s="8">
        <v>48</v>
      </c>
    </row>
    <row r="377" spans="1:2" ht="13.8" x14ac:dyDescent="0.25">
      <c r="A377" s="20">
        <v>25127</v>
      </c>
      <c r="B377" s="8">
        <v>98</v>
      </c>
    </row>
    <row r="378" spans="1:2" ht="13.8" x14ac:dyDescent="0.25">
      <c r="A378" s="19">
        <v>31622</v>
      </c>
      <c r="B378" s="8">
        <v>47</v>
      </c>
    </row>
    <row r="379" spans="1:2" ht="13.8" x14ac:dyDescent="0.25">
      <c r="A379" s="20">
        <v>43769</v>
      </c>
      <c r="B379" s="8">
        <v>56</v>
      </c>
    </row>
    <row r="380" spans="1:2" ht="13.8" x14ac:dyDescent="0.25">
      <c r="A380" s="19">
        <v>20954</v>
      </c>
      <c r="B380" s="8">
        <v>46</v>
      </c>
    </row>
    <row r="381" spans="1:2" ht="13.8" x14ac:dyDescent="0.25">
      <c r="A381" s="20">
        <v>43916</v>
      </c>
      <c r="B381" s="8">
        <v>70</v>
      </c>
    </row>
    <row r="382" spans="1:2" ht="13.8" x14ac:dyDescent="0.25">
      <c r="A382" s="19">
        <v>15826</v>
      </c>
      <c r="B382" s="8">
        <v>49</v>
      </c>
    </row>
    <row r="383" spans="1:2" ht="13.8" x14ac:dyDescent="0.25">
      <c r="A383" s="20">
        <v>15712</v>
      </c>
      <c r="B383" s="8">
        <v>61</v>
      </c>
    </row>
    <row r="384" spans="1:2" ht="13.8" x14ac:dyDescent="0.25">
      <c r="A384" s="19">
        <v>22304</v>
      </c>
      <c r="B384" s="8">
        <v>48</v>
      </c>
    </row>
    <row r="385" spans="1:2" ht="13.8" x14ac:dyDescent="0.25">
      <c r="A385" s="20">
        <v>25389</v>
      </c>
      <c r="B385" s="8">
        <v>75</v>
      </c>
    </row>
    <row r="386" spans="1:2" ht="13.8" x14ac:dyDescent="0.25">
      <c r="A386" s="19">
        <v>13726</v>
      </c>
      <c r="B386" s="8">
        <v>54</v>
      </c>
    </row>
    <row r="387" spans="1:2" ht="13.8" x14ac:dyDescent="0.25">
      <c r="A387" s="20">
        <v>15502</v>
      </c>
      <c r="B387" s="8">
        <v>58</v>
      </c>
    </row>
    <row r="388" spans="1:2" ht="13.8" x14ac:dyDescent="0.25">
      <c r="A388" s="19">
        <v>41820</v>
      </c>
      <c r="B388" s="8">
        <v>64</v>
      </c>
    </row>
    <row r="389" spans="1:2" ht="13.8" x14ac:dyDescent="0.25">
      <c r="A389" s="20">
        <v>17574</v>
      </c>
      <c r="B389" s="8">
        <v>54</v>
      </c>
    </row>
    <row r="390" spans="1:2" ht="13.8" x14ac:dyDescent="0.25">
      <c r="A390" s="19">
        <v>13118</v>
      </c>
      <c r="B390" s="8">
        <v>46</v>
      </c>
    </row>
    <row r="391" spans="1:2" ht="13.8" x14ac:dyDescent="0.25">
      <c r="A391" s="20">
        <v>32680</v>
      </c>
      <c r="B391" s="8">
        <v>63</v>
      </c>
    </row>
    <row r="392" spans="1:2" ht="13.8" x14ac:dyDescent="0.25">
      <c r="A392" s="19">
        <v>16970</v>
      </c>
      <c r="B392" s="8">
        <v>87</v>
      </c>
    </row>
    <row r="393" spans="1:2" ht="13.8" x14ac:dyDescent="0.25">
      <c r="A393" s="20">
        <v>2808</v>
      </c>
      <c r="B393" s="8">
        <v>100</v>
      </c>
    </row>
    <row r="394" spans="1:2" ht="13.8" x14ac:dyDescent="0.25">
      <c r="A394" s="19">
        <v>44724</v>
      </c>
      <c r="B394" s="8">
        <v>95</v>
      </c>
    </row>
    <row r="395" spans="1:2" ht="13.8" x14ac:dyDescent="0.25">
      <c r="A395" s="20">
        <v>21642</v>
      </c>
      <c r="B395" s="8">
        <v>94</v>
      </c>
    </row>
    <row r="396" spans="1:2" ht="13.8" x14ac:dyDescent="0.25">
      <c r="A396" s="19">
        <v>14483</v>
      </c>
      <c r="B396" s="8">
        <v>57</v>
      </c>
    </row>
    <row r="397" spans="1:2" ht="13.8" x14ac:dyDescent="0.25">
      <c r="A397" s="20">
        <v>1581</v>
      </c>
      <c r="B397" s="8">
        <v>53</v>
      </c>
    </row>
    <row r="398" spans="1:2" ht="13.8" x14ac:dyDescent="0.25">
      <c r="A398" s="19">
        <v>13509</v>
      </c>
      <c r="B398" s="8">
        <v>94</v>
      </c>
    </row>
    <row r="399" spans="1:2" ht="13.8" x14ac:dyDescent="0.25">
      <c r="A399" s="20">
        <v>19030</v>
      </c>
      <c r="B399" s="8">
        <v>69</v>
      </c>
    </row>
    <row r="400" spans="1:2" ht="13.8" x14ac:dyDescent="0.25">
      <c r="A400" s="19">
        <v>17439</v>
      </c>
      <c r="B400" s="8">
        <v>56</v>
      </c>
    </row>
    <row r="401" spans="1:2" ht="13.8" x14ac:dyDescent="0.25">
      <c r="A401" s="20">
        <v>40723</v>
      </c>
      <c r="B401" s="8">
        <v>78</v>
      </c>
    </row>
    <row r="402" spans="1:2" ht="13.8" x14ac:dyDescent="0.25">
      <c r="A402" s="19">
        <v>46943</v>
      </c>
      <c r="B402" s="8">
        <v>50</v>
      </c>
    </row>
    <row r="403" spans="1:2" ht="13.8" x14ac:dyDescent="0.25">
      <c r="A403" s="20">
        <v>22013</v>
      </c>
      <c r="B403" s="8">
        <v>46</v>
      </c>
    </row>
    <row r="404" spans="1:2" ht="13.8" x14ac:dyDescent="0.25">
      <c r="A404" s="19">
        <v>40943</v>
      </c>
      <c r="B404" s="8">
        <v>91</v>
      </c>
    </row>
    <row r="405" spans="1:2" ht="13.8" x14ac:dyDescent="0.25">
      <c r="A405" s="20">
        <v>46486</v>
      </c>
      <c r="B405" s="8">
        <v>79</v>
      </c>
    </row>
    <row r="406" spans="1:2" ht="13.8" x14ac:dyDescent="0.25">
      <c r="A406" s="19">
        <v>46014</v>
      </c>
      <c r="B406" s="8">
        <v>74</v>
      </c>
    </row>
    <row r="407" spans="1:2" ht="13.8" x14ac:dyDescent="0.25">
      <c r="A407" s="20">
        <v>5922</v>
      </c>
      <c r="B407" s="8">
        <v>69</v>
      </c>
    </row>
    <row r="408" spans="1:2" ht="13.8" x14ac:dyDescent="0.25">
      <c r="A408" s="19">
        <v>9951</v>
      </c>
      <c r="B408" s="8">
        <v>73</v>
      </c>
    </row>
    <row r="409" spans="1:2" ht="13.8" x14ac:dyDescent="0.25">
      <c r="A409" s="20">
        <v>2531</v>
      </c>
      <c r="B409" s="8">
        <v>92</v>
      </c>
    </row>
    <row r="410" spans="1:2" ht="13.8" x14ac:dyDescent="0.25">
      <c r="A410" s="19">
        <v>28247</v>
      </c>
      <c r="B410" s="8">
        <v>68</v>
      </c>
    </row>
    <row r="411" spans="1:2" ht="13.8" x14ac:dyDescent="0.25">
      <c r="A411" s="20">
        <v>11461</v>
      </c>
      <c r="B411" s="8">
        <v>69</v>
      </c>
    </row>
    <row r="412" spans="1:2" ht="13.8" x14ac:dyDescent="0.25">
      <c r="A412" s="19">
        <v>16098</v>
      </c>
      <c r="B412" s="8">
        <v>76</v>
      </c>
    </row>
    <row r="413" spans="1:2" ht="13.8" x14ac:dyDescent="0.25">
      <c r="A413" s="20">
        <v>13581</v>
      </c>
      <c r="B413" s="8">
        <v>57</v>
      </c>
    </row>
    <row r="414" spans="1:2" ht="13.8" x14ac:dyDescent="0.25">
      <c r="A414" s="19">
        <v>19424</v>
      </c>
      <c r="B414" s="8">
        <v>53</v>
      </c>
    </row>
    <row r="415" spans="1:2" ht="13.8" x14ac:dyDescent="0.25">
      <c r="A415" s="20">
        <v>12015</v>
      </c>
      <c r="B415" s="8">
        <v>99</v>
      </c>
    </row>
    <row r="416" spans="1:2" ht="13.8" x14ac:dyDescent="0.25">
      <c r="A416" s="19">
        <v>12829</v>
      </c>
      <c r="B416" s="8">
        <v>90</v>
      </c>
    </row>
    <row r="417" spans="1:2" ht="13.8" x14ac:dyDescent="0.25">
      <c r="A417" s="20">
        <v>44336</v>
      </c>
      <c r="B417" s="8">
        <v>57</v>
      </c>
    </row>
    <row r="418" spans="1:2" ht="13.8" x14ac:dyDescent="0.25">
      <c r="A418" s="19">
        <v>34086</v>
      </c>
      <c r="B418" s="8">
        <v>69</v>
      </c>
    </row>
    <row r="419" spans="1:2" ht="13.8" x14ac:dyDescent="0.25">
      <c r="A419" s="20">
        <v>38735</v>
      </c>
      <c r="B419" s="8">
        <v>69</v>
      </c>
    </row>
    <row r="420" spans="1:2" ht="13.8" x14ac:dyDescent="0.25">
      <c r="A420" s="19">
        <v>33338</v>
      </c>
      <c r="B420" s="8">
        <v>43</v>
      </c>
    </row>
    <row r="421" spans="1:2" ht="13.8" x14ac:dyDescent="0.25">
      <c r="A421" s="20">
        <v>39336</v>
      </c>
      <c r="B421" s="8">
        <v>52</v>
      </c>
    </row>
    <row r="422" spans="1:2" ht="13.8" x14ac:dyDescent="0.25">
      <c r="A422" s="19">
        <v>20545</v>
      </c>
      <c r="B422" s="8">
        <v>66</v>
      </c>
    </row>
    <row r="423" spans="1:2" ht="13.8" x14ac:dyDescent="0.25">
      <c r="A423" s="20">
        <v>1745</v>
      </c>
      <c r="B423" s="8">
        <v>56</v>
      </c>
    </row>
    <row r="424" spans="1:2" ht="13.8" x14ac:dyDescent="0.25">
      <c r="A424" s="19">
        <v>16207</v>
      </c>
      <c r="B424" s="8">
        <v>49</v>
      </c>
    </row>
    <row r="425" spans="1:2" ht="13.8" x14ac:dyDescent="0.25">
      <c r="A425" s="20">
        <v>30193</v>
      </c>
      <c r="B425" s="8">
        <v>86</v>
      </c>
    </row>
    <row r="426" spans="1:2" ht="13.8" x14ac:dyDescent="0.25">
      <c r="A426" s="19">
        <v>36358</v>
      </c>
      <c r="B426" s="8">
        <v>56</v>
      </c>
    </row>
    <row r="427" spans="1:2" ht="13.8" x14ac:dyDescent="0.25">
      <c r="A427" s="20">
        <v>16158</v>
      </c>
      <c r="B427" s="8">
        <v>64</v>
      </c>
    </row>
    <row r="428" spans="1:2" ht="13.8" x14ac:dyDescent="0.25">
      <c r="A428" s="19">
        <v>33312</v>
      </c>
      <c r="B428" s="8">
        <v>95</v>
      </c>
    </row>
    <row r="429" spans="1:2" ht="13.8" x14ac:dyDescent="0.25">
      <c r="A429" s="20">
        <v>9134</v>
      </c>
      <c r="B429" s="8">
        <v>67</v>
      </c>
    </row>
    <row r="430" spans="1:2" ht="13.8" x14ac:dyDescent="0.25">
      <c r="A430" s="19">
        <v>9305</v>
      </c>
      <c r="B430" s="8">
        <v>44</v>
      </c>
    </row>
    <row r="431" spans="1:2" ht="13.8" x14ac:dyDescent="0.25">
      <c r="A431" s="20">
        <v>38397</v>
      </c>
      <c r="B431" s="8">
        <v>64</v>
      </c>
    </row>
    <row r="432" spans="1:2" ht="13.8" x14ac:dyDescent="0.25">
      <c r="A432" s="19">
        <v>10168</v>
      </c>
      <c r="B432" s="8">
        <v>63</v>
      </c>
    </row>
    <row r="433" spans="1:2" ht="13.8" x14ac:dyDescent="0.25">
      <c r="A433" s="20">
        <v>43294</v>
      </c>
      <c r="B433" s="8">
        <v>94</v>
      </c>
    </row>
    <row r="434" spans="1:2" ht="13.8" x14ac:dyDescent="0.25">
      <c r="A434" s="19">
        <v>22536</v>
      </c>
      <c r="B434" s="8">
        <v>56</v>
      </c>
    </row>
    <row r="435" spans="1:2" ht="13.8" x14ac:dyDescent="0.25">
      <c r="A435" s="20">
        <v>42526</v>
      </c>
      <c r="B435" s="8">
        <v>92</v>
      </c>
    </row>
    <row r="436" spans="1:2" ht="13.8" x14ac:dyDescent="0.25">
      <c r="A436" s="19">
        <v>10707</v>
      </c>
      <c r="B436" s="8">
        <v>62</v>
      </c>
    </row>
    <row r="437" spans="1:2" ht="13.8" x14ac:dyDescent="0.25">
      <c r="A437" s="20">
        <v>47566</v>
      </c>
      <c r="B437" s="8">
        <v>79</v>
      </c>
    </row>
    <row r="438" spans="1:2" ht="13.8" x14ac:dyDescent="0.25">
      <c r="A438" s="19">
        <v>7707</v>
      </c>
      <c r="B438" s="8">
        <v>84</v>
      </c>
    </row>
    <row r="439" spans="1:2" ht="13.8" x14ac:dyDescent="0.25">
      <c r="A439" s="20">
        <v>21778</v>
      </c>
      <c r="B439" s="8">
        <v>82</v>
      </c>
    </row>
    <row r="440" spans="1:2" ht="13.8" x14ac:dyDescent="0.25">
      <c r="A440" s="19">
        <v>18170</v>
      </c>
      <c r="B440" s="8">
        <v>80</v>
      </c>
    </row>
    <row r="441" spans="1:2" ht="13.8" x14ac:dyDescent="0.25">
      <c r="A441" s="20">
        <v>30455</v>
      </c>
      <c r="B441" s="8">
        <v>43</v>
      </c>
    </row>
    <row r="442" spans="1:2" ht="13.8" x14ac:dyDescent="0.25">
      <c r="A442" s="19">
        <v>37206</v>
      </c>
      <c r="B442" s="8">
        <v>65</v>
      </c>
    </row>
    <row r="443" spans="1:2" ht="13.8" x14ac:dyDescent="0.25">
      <c r="A443" s="20">
        <v>35626</v>
      </c>
      <c r="B443" s="8">
        <v>46</v>
      </c>
    </row>
    <row r="444" spans="1:2" ht="13.8" x14ac:dyDescent="0.25">
      <c r="A444" s="19">
        <v>4216</v>
      </c>
      <c r="B444" s="8">
        <v>56</v>
      </c>
    </row>
    <row r="445" spans="1:2" ht="13.8" x14ac:dyDescent="0.25">
      <c r="A445" s="20">
        <v>23946</v>
      </c>
      <c r="B445" s="8">
        <v>79</v>
      </c>
    </row>
    <row r="446" spans="1:2" ht="13.8" x14ac:dyDescent="0.25">
      <c r="A446" s="19">
        <v>49808</v>
      </c>
      <c r="B446" s="8">
        <v>51</v>
      </c>
    </row>
    <row r="447" spans="1:2" ht="13.8" x14ac:dyDescent="0.25">
      <c r="A447" s="20">
        <v>19089</v>
      </c>
      <c r="B447" s="8">
        <v>80</v>
      </c>
    </row>
    <row r="448" spans="1:2" ht="13.8" x14ac:dyDescent="0.25">
      <c r="A448" s="19">
        <v>5166</v>
      </c>
      <c r="B448" s="8">
        <v>72</v>
      </c>
    </row>
    <row r="449" spans="1:2" ht="13.8" x14ac:dyDescent="0.25">
      <c r="A449" s="20">
        <v>7089</v>
      </c>
      <c r="B449" s="8">
        <v>57</v>
      </c>
    </row>
    <row r="450" spans="1:2" ht="13.8" x14ac:dyDescent="0.25">
      <c r="A450" s="19">
        <v>29412</v>
      </c>
      <c r="B450" s="8">
        <v>88</v>
      </c>
    </row>
    <row r="451" spans="1:2" ht="13.8" x14ac:dyDescent="0.25">
      <c r="A451" s="20">
        <v>2562</v>
      </c>
      <c r="B451" s="8">
        <v>52</v>
      </c>
    </row>
    <row r="452" spans="1:2" ht="13.8" x14ac:dyDescent="0.25">
      <c r="A452" s="19">
        <v>32877</v>
      </c>
      <c r="B452" s="8">
        <v>74</v>
      </c>
    </row>
    <row r="453" spans="1:2" ht="13.8" x14ac:dyDescent="0.25">
      <c r="A453" s="20">
        <v>3656</v>
      </c>
      <c r="B453" s="8">
        <v>82</v>
      </c>
    </row>
    <row r="454" spans="1:2" ht="13.8" x14ac:dyDescent="0.25">
      <c r="A454" s="19">
        <v>13996</v>
      </c>
      <c r="B454" s="8">
        <v>91</v>
      </c>
    </row>
    <row r="455" spans="1:2" ht="13.8" x14ac:dyDescent="0.25">
      <c r="A455" s="20">
        <v>23994</v>
      </c>
      <c r="B455" s="8">
        <v>62</v>
      </c>
    </row>
    <row r="456" spans="1:2" ht="13.8" x14ac:dyDescent="0.25">
      <c r="A456" s="19">
        <v>14515</v>
      </c>
      <c r="B456" s="8">
        <v>71</v>
      </c>
    </row>
    <row r="457" spans="1:2" ht="13.8" x14ac:dyDescent="0.25">
      <c r="A457" s="20">
        <v>29884</v>
      </c>
      <c r="B457" s="8">
        <v>95</v>
      </c>
    </row>
    <row r="458" spans="1:2" ht="13.8" x14ac:dyDescent="0.25">
      <c r="A458" s="19">
        <v>36653</v>
      </c>
      <c r="B458" s="8">
        <v>92</v>
      </c>
    </row>
    <row r="459" spans="1:2" ht="13.8" x14ac:dyDescent="0.25">
      <c r="A459" s="20">
        <v>39535</v>
      </c>
      <c r="B459" s="8">
        <v>63</v>
      </c>
    </row>
    <row r="460" spans="1:2" ht="13.8" x14ac:dyDescent="0.25">
      <c r="A460" s="19">
        <v>30785</v>
      </c>
      <c r="B460" s="8">
        <v>85</v>
      </c>
    </row>
    <row r="461" spans="1:2" ht="13.8" x14ac:dyDescent="0.25">
      <c r="A461" s="20">
        <v>24005</v>
      </c>
      <c r="B461" s="8">
        <v>61</v>
      </c>
    </row>
    <row r="462" spans="1:2" ht="13.8" x14ac:dyDescent="0.25">
      <c r="A462" s="19">
        <v>46686</v>
      </c>
      <c r="B462" s="8">
        <v>41</v>
      </c>
    </row>
    <row r="463" spans="1:2" ht="13.8" x14ac:dyDescent="0.25">
      <c r="A463" s="20">
        <v>26918</v>
      </c>
      <c r="B463" s="8">
        <v>99</v>
      </c>
    </row>
    <row r="464" spans="1:2" ht="13.8" x14ac:dyDescent="0.25">
      <c r="A464" s="19">
        <v>27967</v>
      </c>
      <c r="B464" s="8">
        <v>100</v>
      </c>
    </row>
    <row r="465" spans="1:2" ht="13.8" x14ac:dyDescent="0.25">
      <c r="A465" s="20">
        <v>34666</v>
      </c>
      <c r="B465" s="8">
        <v>42</v>
      </c>
    </row>
    <row r="466" spans="1:2" ht="13.8" x14ac:dyDescent="0.25">
      <c r="A466" s="19">
        <v>18775</v>
      </c>
      <c r="B466" s="8">
        <v>87</v>
      </c>
    </row>
    <row r="467" spans="1:2" ht="13.8" x14ac:dyDescent="0.25">
      <c r="A467" s="20">
        <v>29174</v>
      </c>
      <c r="B467" s="8">
        <v>68</v>
      </c>
    </row>
    <row r="468" spans="1:2" ht="13.8" x14ac:dyDescent="0.25">
      <c r="A468" s="19">
        <v>39673</v>
      </c>
      <c r="B468" s="8">
        <v>41</v>
      </c>
    </row>
    <row r="469" spans="1:2" ht="13.8" x14ac:dyDescent="0.25">
      <c r="A469" s="20">
        <v>10307</v>
      </c>
      <c r="B469" s="8">
        <v>98</v>
      </c>
    </row>
    <row r="470" spans="1:2" ht="13.8" x14ac:dyDescent="0.25">
      <c r="A470" s="19">
        <v>12718</v>
      </c>
      <c r="B470" s="8">
        <v>45</v>
      </c>
    </row>
    <row r="471" spans="1:2" ht="13.8" x14ac:dyDescent="0.25">
      <c r="A471" s="20">
        <v>39790</v>
      </c>
      <c r="B471" s="8">
        <v>88</v>
      </c>
    </row>
    <row r="472" spans="1:2" ht="13.8" x14ac:dyDescent="0.25">
      <c r="A472" s="19">
        <v>22037</v>
      </c>
      <c r="B472" s="8">
        <v>70</v>
      </c>
    </row>
    <row r="473" spans="1:2" ht="13.8" x14ac:dyDescent="0.25">
      <c r="A473" s="20">
        <v>39229</v>
      </c>
      <c r="B473" s="8">
        <v>67</v>
      </c>
    </row>
    <row r="474" spans="1:2" ht="13.8" x14ac:dyDescent="0.25">
      <c r="A474" s="19">
        <v>17925</v>
      </c>
      <c r="B474" s="8">
        <v>58</v>
      </c>
    </row>
    <row r="475" spans="1:2" ht="13.8" x14ac:dyDescent="0.25">
      <c r="A475" s="20">
        <v>42988</v>
      </c>
      <c r="B475" s="8">
        <v>91</v>
      </c>
    </row>
    <row r="476" spans="1:2" ht="13.8" x14ac:dyDescent="0.25">
      <c r="A476" s="19">
        <v>8566</v>
      </c>
      <c r="B476" s="8">
        <v>82</v>
      </c>
    </row>
    <row r="477" spans="1:2" ht="13.8" x14ac:dyDescent="0.25">
      <c r="A477" s="20">
        <v>13935</v>
      </c>
      <c r="B477" s="8">
        <v>67</v>
      </c>
    </row>
    <row r="478" spans="1:2" ht="13.8" x14ac:dyDescent="0.25">
      <c r="A478" s="19">
        <v>43318</v>
      </c>
      <c r="B478" s="8">
        <v>61</v>
      </c>
    </row>
    <row r="479" spans="1:2" ht="13.8" x14ac:dyDescent="0.25">
      <c r="A479" s="20">
        <v>22365</v>
      </c>
      <c r="B479" s="8">
        <v>90</v>
      </c>
    </row>
    <row r="480" spans="1:2" ht="13.8" x14ac:dyDescent="0.25">
      <c r="A480" s="19">
        <v>33040</v>
      </c>
      <c r="B480" s="8">
        <v>88</v>
      </c>
    </row>
    <row r="481" spans="1:2" ht="13.8" x14ac:dyDescent="0.25">
      <c r="A481" s="20">
        <v>34786</v>
      </c>
      <c r="B481" s="8">
        <v>89</v>
      </c>
    </row>
    <row r="482" spans="1:2" ht="13.8" x14ac:dyDescent="0.25">
      <c r="A482" s="19">
        <v>14497</v>
      </c>
      <c r="B482" s="8">
        <v>84</v>
      </c>
    </row>
    <row r="483" spans="1:2" ht="13.8" x14ac:dyDescent="0.25">
      <c r="A483" s="20">
        <v>32698</v>
      </c>
      <c r="B483" s="8">
        <v>49</v>
      </c>
    </row>
    <row r="484" spans="1:2" ht="13.8" x14ac:dyDescent="0.25">
      <c r="A484" s="19">
        <v>30644</v>
      </c>
      <c r="B484" s="8">
        <v>85</v>
      </c>
    </row>
    <row r="485" spans="1:2" ht="13.8" x14ac:dyDescent="0.25">
      <c r="A485" s="20">
        <v>31639</v>
      </c>
      <c r="B485" s="8">
        <v>73</v>
      </c>
    </row>
    <row r="486" spans="1:2" ht="13.8" x14ac:dyDescent="0.25">
      <c r="A486" s="19">
        <v>38098</v>
      </c>
      <c r="B486" s="8">
        <v>99</v>
      </c>
    </row>
    <row r="487" spans="1:2" ht="13.8" x14ac:dyDescent="0.25">
      <c r="A487" s="20">
        <v>41905</v>
      </c>
      <c r="B487" s="8">
        <v>40</v>
      </c>
    </row>
    <row r="488" spans="1:2" ht="13.8" x14ac:dyDescent="0.25">
      <c r="A488" s="19">
        <v>40793</v>
      </c>
      <c r="B488" s="8">
        <v>93</v>
      </c>
    </row>
    <row r="489" spans="1:2" ht="13.8" x14ac:dyDescent="0.25">
      <c r="A489" s="20">
        <v>48125</v>
      </c>
      <c r="B489" s="8">
        <v>95</v>
      </c>
    </row>
    <row r="490" spans="1:2" ht="13.8" x14ac:dyDescent="0.25">
      <c r="A490" s="19">
        <v>8182</v>
      </c>
      <c r="B490" s="8">
        <v>71</v>
      </c>
    </row>
    <row r="491" spans="1:2" ht="13.8" x14ac:dyDescent="0.25">
      <c r="A491" s="20">
        <v>22514</v>
      </c>
      <c r="B491" s="8">
        <v>59</v>
      </c>
    </row>
    <row r="492" spans="1:2" ht="13.8" x14ac:dyDescent="0.25">
      <c r="A492" s="19">
        <v>18546</v>
      </c>
      <c r="B492" s="8">
        <v>77</v>
      </c>
    </row>
    <row r="493" spans="1:2" ht="13.8" x14ac:dyDescent="0.25">
      <c r="A493" s="20">
        <v>10064</v>
      </c>
      <c r="B493" s="8">
        <v>50</v>
      </c>
    </row>
    <row r="494" spans="1:2" ht="13.8" x14ac:dyDescent="0.25">
      <c r="A494" s="19">
        <v>39197</v>
      </c>
      <c r="B494" s="8">
        <v>90</v>
      </c>
    </row>
    <row r="495" spans="1:2" ht="13.8" x14ac:dyDescent="0.25">
      <c r="A495" s="20">
        <v>42554</v>
      </c>
      <c r="B495" s="8">
        <v>71</v>
      </c>
    </row>
    <row r="496" spans="1:2" ht="13.8" x14ac:dyDescent="0.25">
      <c r="A496" s="19">
        <v>26005</v>
      </c>
      <c r="B496" s="8">
        <v>78</v>
      </c>
    </row>
    <row r="497" spans="1:2" ht="13.8" x14ac:dyDescent="0.25">
      <c r="A497" s="20">
        <v>5534</v>
      </c>
      <c r="B497" s="8">
        <v>85</v>
      </c>
    </row>
    <row r="498" spans="1:2" ht="13.8" x14ac:dyDescent="0.25">
      <c r="A498" s="19">
        <v>20887</v>
      </c>
      <c r="B498" s="8">
        <v>68</v>
      </c>
    </row>
    <row r="499" spans="1:2" ht="13.8" x14ac:dyDescent="0.25">
      <c r="A499" s="20">
        <v>7750</v>
      </c>
      <c r="B499" s="8">
        <v>50</v>
      </c>
    </row>
    <row r="500" spans="1:2" ht="13.8" x14ac:dyDescent="0.25">
      <c r="A500" s="19">
        <v>45912</v>
      </c>
      <c r="B500" s="8">
        <v>74</v>
      </c>
    </row>
    <row r="501" spans="1:2" ht="13.8" x14ac:dyDescent="0.25">
      <c r="A501" s="20">
        <v>20830</v>
      </c>
      <c r="B501" s="8">
        <v>51</v>
      </c>
    </row>
    <row r="502" spans="1:2" ht="13.8" x14ac:dyDescent="0.25">
      <c r="A502" s="19">
        <v>48562</v>
      </c>
      <c r="B502" s="8">
        <v>70</v>
      </c>
    </row>
    <row r="503" spans="1:2" ht="13.8" x14ac:dyDescent="0.25">
      <c r="A503" s="20">
        <v>17665</v>
      </c>
      <c r="B503" s="8">
        <v>97</v>
      </c>
    </row>
    <row r="504" spans="1:2" ht="13.8" x14ac:dyDescent="0.25">
      <c r="A504" s="19">
        <v>5137</v>
      </c>
      <c r="B504" s="8">
        <v>71</v>
      </c>
    </row>
    <row r="505" spans="1:2" ht="13.8" x14ac:dyDescent="0.25">
      <c r="A505" s="20">
        <v>20095</v>
      </c>
      <c r="B505" s="8">
        <v>87</v>
      </c>
    </row>
    <row r="506" spans="1:2" ht="13.8" x14ac:dyDescent="0.25">
      <c r="A506" s="19">
        <v>18994</v>
      </c>
      <c r="B506" s="8">
        <v>47</v>
      </c>
    </row>
    <row r="507" spans="1:2" ht="13.8" x14ac:dyDescent="0.25">
      <c r="A507" s="20">
        <v>43825</v>
      </c>
      <c r="B507" s="8">
        <v>71</v>
      </c>
    </row>
    <row r="508" spans="1:2" ht="13.8" x14ac:dyDescent="0.25">
      <c r="A508" s="19">
        <v>31897</v>
      </c>
      <c r="B508" s="8">
        <v>88</v>
      </c>
    </row>
    <row r="509" spans="1:2" ht="13.8" x14ac:dyDescent="0.25">
      <c r="A509" s="20">
        <v>11050</v>
      </c>
      <c r="B509" s="8">
        <v>63</v>
      </c>
    </row>
    <row r="510" spans="1:2" ht="13.8" x14ac:dyDescent="0.25">
      <c r="A510" s="19">
        <v>24899</v>
      </c>
      <c r="B510" s="8">
        <v>81</v>
      </c>
    </row>
    <row r="511" spans="1:2" ht="13.8" x14ac:dyDescent="0.25">
      <c r="A511" s="20">
        <v>29363</v>
      </c>
      <c r="B511" s="8">
        <v>89</v>
      </c>
    </row>
    <row r="512" spans="1:2" ht="13.8" x14ac:dyDescent="0.25">
      <c r="A512" s="19">
        <v>31376</v>
      </c>
      <c r="B512" s="8">
        <v>74</v>
      </c>
    </row>
    <row r="513" spans="1:2" ht="13.8" x14ac:dyDescent="0.25">
      <c r="A513" s="20">
        <v>42876</v>
      </c>
      <c r="B513" s="8">
        <v>55</v>
      </c>
    </row>
    <row r="514" spans="1:2" ht="13.8" x14ac:dyDescent="0.25">
      <c r="A514" s="19">
        <v>2391</v>
      </c>
      <c r="B514" s="8">
        <v>99</v>
      </c>
    </row>
    <row r="515" spans="1:2" ht="13.8" x14ac:dyDescent="0.25">
      <c r="A515" s="20">
        <v>19751</v>
      </c>
      <c r="B515" s="8">
        <v>62</v>
      </c>
    </row>
    <row r="516" spans="1:2" ht="13.8" x14ac:dyDescent="0.25">
      <c r="A516" s="19">
        <v>20344</v>
      </c>
      <c r="B516" s="8">
        <v>74</v>
      </c>
    </row>
    <row r="517" spans="1:2" ht="13.8" x14ac:dyDescent="0.25">
      <c r="A517" s="20">
        <v>22912</v>
      </c>
      <c r="B517" s="8">
        <v>41</v>
      </c>
    </row>
    <row r="518" spans="1:2" ht="13.8" x14ac:dyDescent="0.25">
      <c r="A518" s="19">
        <v>35477</v>
      </c>
      <c r="B518" s="8">
        <v>68</v>
      </c>
    </row>
    <row r="519" spans="1:2" ht="13.8" x14ac:dyDescent="0.25">
      <c r="A519" s="20">
        <v>23343</v>
      </c>
      <c r="B519" s="8">
        <v>77</v>
      </c>
    </row>
    <row r="520" spans="1:2" ht="13.8" x14ac:dyDescent="0.25">
      <c r="A520" s="19">
        <v>40401</v>
      </c>
      <c r="B520" s="8">
        <v>96</v>
      </c>
    </row>
    <row r="521" spans="1:2" ht="13.8" x14ac:dyDescent="0.25">
      <c r="A521" s="20">
        <v>15440</v>
      </c>
      <c r="B521" s="8">
        <v>83</v>
      </c>
    </row>
    <row r="522" spans="1:2" ht="13.8" x14ac:dyDescent="0.25">
      <c r="A522" s="19">
        <v>14377</v>
      </c>
      <c r="B522" s="8">
        <v>67</v>
      </c>
    </row>
    <row r="523" spans="1:2" ht="13.8" x14ac:dyDescent="0.25">
      <c r="A523" s="20">
        <v>17441</v>
      </c>
      <c r="B523" s="8">
        <v>57</v>
      </c>
    </row>
    <row r="524" spans="1:2" ht="13.8" x14ac:dyDescent="0.25">
      <c r="A524" s="19">
        <v>20354</v>
      </c>
      <c r="B524" s="8">
        <v>70</v>
      </c>
    </row>
    <row r="525" spans="1:2" ht="13.8" x14ac:dyDescent="0.25">
      <c r="A525" s="20">
        <v>34116</v>
      </c>
      <c r="B525" s="8">
        <v>76</v>
      </c>
    </row>
    <row r="526" spans="1:2" ht="13.8" x14ac:dyDescent="0.25">
      <c r="A526" s="19">
        <v>41887</v>
      </c>
      <c r="B526" s="8">
        <v>81</v>
      </c>
    </row>
    <row r="527" spans="1:2" ht="13.8" x14ac:dyDescent="0.25">
      <c r="A527" s="20">
        <v>47625</v>
      </c>
      <c r="B527" s="8">
        <v>70</v>
      </c>
    </row>
    <row r="528" spans="1:2" ht="13.8" x14ac:dyDescent="0.25">
      <c r="A528" s="19">
        <v>13796</v>
      </c>
      <c r="B528" s="8">
        <v>76</v>
      </c>
    </row>
    <row r="529" spans="1:2" ht="13.8" x14ac:dyDescent="0.25">
      <c r="A529" s="20">
        <v>45834</v>
      </c>
      <c r="B529" s="8">
        <v>60</v>
      </c>
    </row>
    <row r="530" spans="1:2" ht="13.8" x14ac:dyDescent="0.25">
      <c r="A530" s="19">
        <v>12601</v>
      </c>
      <c r="B530" s="8">
        <v>41</v>
      </c>
    </row>
    <row r="531" spans="1:2" ht="13.8" x14ac:dyDescent="0.25">
      <c r="A531" s="20">
        <v>48033</v>
      </c>
      <c r="B531" s="8">
        <v>56</v>
      </c>
    </row>
    <row r="532" spans="1:2" ht="13.8" x14ac:dyDescent="0.25">
      <c r="A532" s="19">
        <v>40584</v>
      </c>
      <c r="B532" s="8">
        <v>57</v>
      </c>
    </row>
    <row r="533" spans="1:2" ht="13.8" x14ac:dyDescent="0.25">
      <c r="A533" s="20">
        <v>6341</v>
      </c>
      <c r="B533" s="8">
        <v>86</v>
      </c>
    </row>
    <row r="534" spans="1:2" ht="13.8" x14ac:dyDescent="0.25">
      <c r="A534" s="19">
        <v>43266</v>
      </c>
      <c r="B534" s="8">
        <v>64</v>
      </c>
    </row>
    <row r="535" spans="1:2" ht="13.8" x14ac:dyDescent="0.25">
      <c r="A535" s="20">
        <v>45918</v>
      </c>
      <c r="B535" s="8">
        <v>49</v>
      </c>
    </row>
    <row r="536" spans="1:2" ht="13.8" x14ac:dyDescent="0.25">
      <c r="A536" s="19">
        <v>29838</v>
      </c>
      <c r="B536" s="8">
        <v>79</v>
      </c>
    </row>
    <row r="537" spans="1:2" ht="13.8" x14ac:dyDescent="0.25">
      <c r="A537" s="20">
        <v>21520</v>
      </c>
      <c r="B537" s="8">
        <v>50</v>
      </c>
    </row>
    <row r="538" spans="1:2" ht="13.8" x14ac:dyDescent="0.25">
      <c r="A538" s="19">
        <v>41944</v>
      </c>
      <c r="B538" s="8">
        <v>60</v>
      </c>
    </row>
    <row r="539" spans="1:2" ht="13.8" x14ac:dyDescent="0.25">
      <c r="A539" s="20">
        <v>1794</v>
      </c>
      <c r="B539" s="8">
        <v>68</v>
      </c>
    </row>
    <row r="540" spans="1:2" ht="13.8" x14ac:dyDescent="0.25">
      <c r="A540" s="19">
        <v>12793</v>
      </c>
      <c r="B540" s="8">
        <v>48</v>
      </c>
    </row>
    <row r="541" spans="1:2" ht="13.8" x14ac:dyDescent="0.25">
      <c r="A541" s="20">
        <v>29132</v>
      </c>
      <c r="B541" s="8">
        <v>45</v>
      </c>
    </row>
    <row r="542" spans="1:2" ht="13.8" x14ac:dyDescent="0.25">
      <c r="A542" s="19">
        <v>15763</v>
      </c>
      <c r="B542" s="8">
        <v>83</v>
      </c>
    </row>
    <row r="543" spans="1:2" ht="13.8" x14ac:dyDescent="0.25">
      <c r="A543" s="20">
        <v>4266</v>
      </c>
      <c r="B543" s="8">
        <v>73</v>
      </c>
    </row>
    <row r="544" spans="1:2" ht="13.8" x14ac:dyDescent="0.25">
      <c r="A544" s="19">
        <v>38663</v>
      </c>
      <c r="B544" s="8">
        <v>76</v>
      </c>
    </row>
    <row r="545" spans="1:2" ht="13.8" x14ac:dyDescent="0.25">
      <c r="A545" s="20">
        <v>19378</v>
      </c>
      <c r="B545" s="8">
        <v>85</v>
      </c>
    </row>
    <row r="546" spans="1:2" ht="13.8" x14ac:dyDescent="0.25">
      <c r="A546" s="19">
        <v>16162</v>
      </c>
      <c r="B546" s="8">
        <v>99</v>
      </c>
    </row>
    <row r="547" spans="1:2" ht="13.8" x14ac:dyDescent="0.25">
      <c r="A547" s="20">
        <v>10224</v>
      </c>
      <c r="B547" s="8">
        <v>40</v>
      </c>
    </row>
    <row r="548" spans="1:2" ht="13.8" x14ac:dyDescent="0.25">
      <c r="A548" s="19">
        <v>17380</v>
      </c>
      <c r="B548" s="8">
        <v>95</v>
      </c>
    </row>
    <row r="549" spans="1:2" ht="13.8" x14ac:dyDescent="0.25">
      <c r="A549" s="20">
        <v>48807</v>
      </c>
      <c r="B549" s="8">
        <v>52</v>
      </c>
    </row>
    <row r="550" spans="1:2" ht="13.8" x14ac:dyDescent="0.25">
      <c r="A550" s="19">
        <v>3310</v>
      </c>
      <c r="B550" s="8">
        <v>58</v>
      </c>
    </row>
    <row r="551" spans="1:2" ht="13.8" x14ac:dyDescent="0.25">
      <c r="A551" s="20">
        <v>37030</v>
      </c>
      <c r="B551" s="8">
        <v>76</v>
      </c>
    </row>
    <row r="552" spans="1:2" ht="13.8" x14ac:dyDescent="0.25">
      <c r="A552" s="19">
        <v>14022</v>
      </c>
      <c r="B552" s="8">
        <v>71</v>
      </c>
    </row>
    <row r="553" spans="1:2" ht="13.8" x14ac:dyDescent="0.25">
      <c r="A553" s="20">
        <v>41124</v>
      </c>
      <c r="B553" s="8">
        <v>68</v>
      </c>
    </row>
    <row r="554" spans="1:2" ht="13.8" x14ac:dyDescent="0.25">
      <c r="A554" s="19">
        <v>20070</v>
      </c>
      <c r="B554" s="8">
        <v>79</v>
      </c>
    </row>
    <row r="555" spans="1:2" ht="13.8" x14ac:dyDescent="0.25">
      <c r="A555" s="20">
        <v>7798</v>
      </c>
      <c r="B555" s="8">
        <v>47</v>
      </c>
    </row>
    <row r="556" spans="1:2" ht="13.8" x14ac:dyDescent="0.25">
      <c r="A556" s="19">
        <v>16412</v>
      </c>
      <c r="B556" s="8">
        <v>66</v>
      </c>
    </row>
    <row r="557" spans="1:2" ht="13.8" x14ac:dyDescent="0.25">
      <c r="A557" s="20">
        <v>5513</v>
      </c>
      <c r="B557" s="8">
        <v>81</v>
      </c>
    </row>
    <row r="558" spans="1:2" ht="13.8" x14ac:dyDescent="0.25">
      <c r="A558" s="19">
        <v>27527</v>
      </c>
      <c r="B558" s="8">
        <v>49</v>
      </c>
    </row>
    <row r="559" spans="1:2" ht="13.8" x14ac:dyDescent="0.25">
      <c r="A559" s="20">
        <v>46353</v>
      </c>
      <c r="B559" s="8">
        <v>100</v>
      </c>
    </row>
    <row r="560" spans="1:2" ht="13.8" x14ac:dyDescent="0.25">
      <c r="A560" s="19">
        <v>26896</v>
      </c>
      <c r="B560" s="8">
        <v>73</v>
      </c>
    </row>
    <row r="561" spans="1:2" ht="13.8" x14ac:dyDescent="0.25">
      <c r="A561" s="20">
        <v>25020</v>
      </c>
      <c r="B561" s="8">
        <v>65</v>
      </c>
    </row>
    <row r="562" spans="1:2" ht="13.8" x14ac:dyDescent="0.25">
      <c r="A562" s="19">
        <v>14044</v>
      </c>
      <c r="B562" s="8">
        <v>73</v>
      </c>
    </row>
    <row r="563" spans="1:2" ht="13.8" x14ac:dyDescent="0.25">
      <c r="A563" s="20">
        <v>11589</v>
      </c>
      <c r="B563" s="8">
        <v>90</v>
      </c>
    </row>
    <row r="564" spans="1:2" ht="13.8" x14ac:dyDescent="0.25">
      <c r="A564" s="19">
        <v>20860</v>
      </c>
      <c r="B564" s="8">
        <v>47</v>
      </c>
    </row>
    <row r="565" spans="1:2" ht="13.8" x14ac:dyDescent="0.25">
      <c r="A565" s="20">
        <v>15054</v>
      </c>
      <c r="B565" s="8">
        <v>77</v>
      </c>
    </row>
    <row r="566" spans="1:2" ht="13.8" x14ac:dyDescent="0.25">
      <c r="A566" s="19">
        <v>22362</v>
      </c>
      <c r="B566" s="8">
        <v>97</v>
      </c>
    </row>
    <row r="567" spans="1:2" ht="13.8" x14ac:dyDescent="0.25">
      <c r="A567" s="20">
        <v>2467</v>
      </c>
      <c r="B567" s="8">
        <v>64</v>
      </c>
    </row>
    <row r="568" spans="1:2" ht="13.8" x14ac:dyDescent="0.25">
      <c r="A568" s="19">
        <v>49583</v>
      </c>
      <c r="B568" s="8">
        <v>47</v>
      </c>
    </row>
    <row r="569" spans="1:2" ht="13.8" x14ac:dyDescent="0.25">
      <c r="A569" s="20">
        <v>49884</v>
      </c>
      <c r="B569" s="8">
        <v>94</v>
      </c>
    </row>
    <row r="570" spans="1:2" ht="13.8" x14ac:dyDescent="0.25">
      <c r="A570" s="19">
        <v>31072</v>
      </c>
      <c r="B570" s="8">
        <v>96</v>
      </c>
    </row>
    <row r="571" spans="1:2" ht="13.8" x14ac:dyDescent="0.25">
      <c r="A571" s="20">
        <v>28582</v>
      </c>
      <c r="B571" s="8">
        <v>53</v>
      </c>
    </row>
    <row r="572" spans="1:2" ht="13.8" x14ac:dyDescent="0.25">
      <c r="A572" s="19">
        <v>44438</v>
      </c>
      <c r="B572" s="8">
        <v>62.5</v>
      </c>
    </row>
    <row r="573" spans="1:2" ht="13.8" x14ac:dyDescent="0.25">
      <c r="A573" s="20">
        <v>5225</v>
      </c>
      <c r="B573" s="8">
        <v>46</v>
      </c>
    </row>
    <row r="574" spans="1:2" ht="13.8" x14ac:dyDescent="0.25">
      <c r="A574" s="19">
        <v>29213</v>
      </c>
      <c r="B574" s="8">
        <v>84</v>
      </c>
    </row>
    <row r="575" spans="1:2" ht="13.8" x14ac:dyDescent="0.25">
      <c r="A575" s="20">
        <v>25554</v>
      </c>
      <c r="B575" s="8">
        <v>61</v>
      </c>
    </row>
    <row r="576" spans="1:2" ht="13.8" x14ac:dyDescent="0.25">
      <c r="A576" s="19">
        <v>34098</v>
      </c>
      <c r="B576" s="8">
        <v>77</v>
      </c>
    </row>
    <row r="577" spans="1:2" ht="13.8" x14ac:dyDescent="0.25">
      <c r="A577" s="20">
        <v>4036</v>
      </c>
      <c r="B577" s="8">
        <v>84</v>
      </c>
    </row>
    <row r="578" spans="1:2" ht="13.8" x14ac:dyDescent="0.25">
      <c r="A578" s="19">
        <v>18507</v>
      </c>
      <c r="B578" s="8">
        <v>90</v>
      </c>
    </row>
    <row r="579" spans="1:2" ht="13.8" x14ac:dyDescent="0.25">
      <c r="A579" s="20">
        <v>7574</v>
      </c>
      <c r="B579" s="8">
        <v>48</v>
      </c>
    </row>
    <row r="580" spans="1:2" ht="13.8" x14ac:dyDescent="0.25">
      <c r="A580" s="19">
        <v>9991</v>
      </c>
      <c r="B580" s="8">
        <v>68</v>
      </c>
    </row>
    <row r="581" spans="1:2" ht="13.8" x14ac:dyDescent="0.25">
      <c r="A581" s="20">
        <v>11837</v>
      </c>
      <c r="B581" s="8">
        <v>56</v>
      </c>
    </row>
    <row r="582" spans="1:2" ht="13.8" x14ac:dyDescent="0.25">
      <c r="A582" s="19">
        <v>707</v>
      </c>
      <c r="B582" s="8">
        <v>51</v>
      </c>
    </row>
    <row r="583" spans="1:2" ht="13.8" x14ac:dyDescent="0.25">
      <c r="A583" s="20">
        <v>16140</v>
      </c>
      <c r="B583" s="8">
        <v>44</v>
      </c>
    </row>
    <row r="584" spans="1:2" ht="13.8" x14ac:dyDescent="0.25">
      <c r="A584" s="19">
        <v>20523</v>
      </c>
      <c r="B584" s="8">
        <v>89</v>
      </c>
    </row>
    <row r="585" spans="1:2" ht="13.8" x14ac:dyDescent="0.25">
      <c r="A585" s="20">
        <v>10470</v>
      </c>
      <c r="B585" s="8">
        <v>99</v>
      </c>
    </row>
    <row r="586" spans="1:2" ht="13.8" x14ac:dyDescent="0.25">
      <c r="A586" s="19">
        <v>8212</v>
      </c>
      <c r="B586" s="8">
        <v>46</v>
      </c>
    </row>
    <row r="587" spans="1:2" ht="13.8" x14ac:dyDescent="0.25">
      <c r="A587" s="20">
        <v>44052</v>
      </c>
      <c r="B587" s="8">
        <v>77</v>
      </c>
    </row>
    <row r="588" spans="1:2" ht="13.8" x14ac:dyDescent="0.25">
      <c r="A588" s="19">
        <v>12734</v>
      </c>
      <c r="B588" s="8">
        <v>53</v>
      </c>
    </row>
    <row r="589" spans="1:2" ht="13.8" x14ac:dyDescent="0.25">
      <c r="A589" s="20">
        <v>5251</v>
      </c>
      <c r="B589" s="8">
        <v>52</v>
      </c>
    </row>
    <row r="590" spans="1:2" ht="13.8" x14ac:dyDescent="0.25">
      <c r="A590" s="19">
        <v>28285</v>
      </c>
      <c r="B590" s="8">
        <v>59</v>
      </c>
    </row>
    <row r="591" spans="1:2" ht="13.8" x14ac:dyDescent="0.25">
      <c r="A591" s="20">
        <v>23430</v>
      </c>
      <c r="B591" s="8">
        <v>51</v>
      </c>
    </row>
    <row r="592" spans="1:2" ht="13.8" x14ac:dyDescent="0.25">
      <c r="A592" s="19">
        <v>3035</v>
      </c>
      <c r="B592" s="8">
        <v>45</v>
      </c>
    </row>
    <row r="593" spans="1:2" ht="13.8" x14ac:dyDescent="0.25">
      <c r="A593" s="20">
        <v>776</v>
      </c>
      <c r="B593" s="8">
        <v>78</v>
      </c>
    </row>
    <row r="594" spans="1:2" ht="13.8" x14ac:dyDescent="0.25">
      <c r="A594" s="19">
        <v>21632</v>
      </c>
      <c r="B594" s="8">
        <v>63</v>
      </c>
    </row>
    <row r="595" spans="1:2" ht="13.8" x14ac:dyDescent="0.25">
      <c r="A595" s="20">
        <v>44128</v>
      </c>
      <c r="B595" s="8">
        <v>76</v>
      </c>
    </row>
    <row r="596" spans="1:2" ht="13.8" x14ac:dyDescent="0.25">
      <c r="A596" s="19">
        <v>39881</v>
      </c>
      <c r="B596" s="8">
        <v>56</v>
      </c>
    </row>
    <row r="597" spans="1:2" ht="13.8" x14ac:dyDescent="0.25">
      <c r="A597" s="20">
        <v>5002</v>
      </c>
      <c r="B597" s="8">
        <v>48</v>
      </c>
    </row>
    <row r="598" spans="1:2" ht="13.8" x14ac:dyDescent="0.25">
      <c r="A598" s="19">
        <v>12637</v>
      </c>
      <c r="B598" s="8">
        <v>89</v>
      </c>
    </row>
    <row r="599" spans="1:2" ht="13.8" x14ac:dyDescent="0.25">
      <c r="A599" s="20">
        <v>1267</v>
      </c>
      <c r="B599" s="8">
        <v>48</v>
      </c>
    </row>
    <row r="600" spans="1:2" ht="13.8" x14ac:dyDescent="0.25">
      <c r="A600" s="19">
        <v>49285</v>
      </c>
      <c r="B600" s="8">
        <v>49</v>
      </c>
    </row>
    <row r="601" spans="1:2" ht="13.8" x14ac:dyDescent="0.25">
      <c r="A601" s="20">
        <v>7160</v>
      </c>
      <c r="B601" s="8">
        <v>49</v>
      </c>
    </row>
    <row r="602" spans="1:2" ht="13.8" x14ac:dyDescent="0.25">
      <c r="A602" s="19">
        <v>33003</v>
      </c>
      <c r="B602" s="8">
        <v>82</v>
      </c>
    </row>
    <row r="603" spans="1:2" ht="13.8" x14ac:dyDescent="0.25">
      <c r="A603" s="20">
        <v>46688</v>
      </c>
      <c r="B603" s="8">
        <v>95</v>
      </c>
    </row>
    <row r="604" spans="1:2" ht="13.8" x14ac:dyDescent="0.25">
      <c r="A604" s="19">
        <v>22007</v>
      </c>
      <c r="B604" s="8">
        <v>81</v>
      </c>
    </row>
    <row r="605" spans="1:2" ht="13.8" x14ac:dyDescent="0.25">
      <c r="A605" s="20">
        <v>19043</v>
      </c>
      <c r="B605" s="8">
        <v>41</v>
      </c>
    </row>
    <row r="606" spans="1:2" ht="13.8" x14ac:dyDescent="0.25">
      <c r="A606" s="19">
        <v>1974</v>
      </c>
      <c r="B606" s="8">
        <v>42</v>
      </c>
    </row>
    <row r="607" spans="1:2" ht="13.8" x14ac:dyDescent="0.25">
      <c r="A607" s="20">
        <v>17264</v>
      </c>
      <c r="B607" s="8">
        <v>79</v>
      </c>
    </row>
    <row r="608" spans="1:2" ht="13.8" x14ac:dyDescent="0.25">
      <c r="A608" s="19">
        <v>28037</v>
      </c>
      <c r="B608" s="8">
        <v>57</v>
      </c>
    </row>
    <row r="609" spans="1:2" ht="13.8" x14ac:dyDescent="0.25">
      <c r="A609" s="20">
        <v>2369</v>
      </c>
      <c r="B609" s="8">
        <v>90</v>
      </c>
    </row>
    <row r="610" spans="1:2" ht="13.8" x14ac:dyDescent="0.25">
      <c r="A610" s="19">
        <v>19894</v>
      </c>
      <c r="B610" s="8">
        <v>65</v>
      </c>
    </row>
    <row r="611" spans="1:2" ht="13.8" x14ac:dyDescent="0.25">
      <c r="A611" s="20">
        <v>33335</v>
      </c>
      <c r="B611" s="8">
        <v>91</v>
      </c>
    </row>
    <row r="612" spans="1:2" ht="13.8" x14ac:dyDescent="0.25">
      <c r="A612" s="19">
        <v>42658</v>
      </c>
      <c r="B612" s="8">
        <v>51</v>
      </c>
    </row>
    <row r="613" spans="1:2" ht="13.8" x14ac:dyDescent="0.25">
      <c r="A613" s="20">
        <v>15260</v>
      </c>
      <c r="B613" s="8">
        <v>90</v>
      </c>
    </row>
    <row r="614" spans="1:2" ht="13.8" x14ac:dyDescent="0.25">
      <c r="A614" s="19">
        <v>1814</v>
      </c>
      <c r="B614" s="8">
        <v>83</v>
      </c>
    </row>
    <row r="615" spans="1:2" ht="13.8" x14ac:dyDescent="0.25">
      <c r="A615" s="20">
        <v>12225</v>
      </c>
      <c r="B615" s="8">
        <v>89</v>
      </c>
    </row>
    <row r="616" spans="1:2" ht="13.8" x14ac:dyDescent="0.25">
      <c r="A616" s="19">
        <v>966</v>
      </c>
      <c r="B616" s="8">
        <v>56</v>
      </c>
    </row>
    <row r="617" spans="1:2" ht="13.8" x14ac:dyDescent="0.25">
      <c r="A617" s="20">
        <v>28535</v>
      </c>
      <c r="B617" s="8">
        <v>41</v>
      </c>
    </row>
    <row r="618" spans="1:2" ht="13.8" x14ac:dyDescent="0.25">
      <c r="A618" s="19">
        <v>46586</v>
      </c>
      <c r="B618" s="8">
        <v>58</v>
      </c>
    </row>
    <row r="619" spans="1:2" ht="13.8" x14ac:dyDescent="0.25">
      <c r="A619" s="20">
        <v>30116</v>
      </c>
      <c r="B619" s="8">
        <v>75</v>
      </c>
    </row>
    <row r="620" spans="1:2" ht="13.8" x14ac:dyDescent="0.25">
      <c r="A620" s="19">
        <v>34202</v>
      </c>
      <c r="B620" s="8">
        <v>64</v>
      </c>
    </row>
    <row r="621" spans="1:2" ht="13.8" x14ac:dyDescent="0.25">
      <c r="A621" s="20">
        <v>24985</v>
      </c>
      <c r="B621" s="8">
        <v>42</v>
      </c>
    </row>
    <row r="622" spans="1:2" ht="13.8" x14ac:dyDescent="0.25">
      <c r="A622" s="19">
        <v>18468</v>
      </c>
      <c r="B622" s="8">
        <v>44</v>
      </c>
    </row>
    <row r="623" spans="1:2" ht="13.8" x14ac:dyDescent="0.25">
      <c r="A623" s="20">
        <v>24526</v>
      </c>
      <c r="B623" s="8">
        <v>64</v>
      </c>
    </row>
    <row r="624" spans="1:2" ht="13.8" x14ac:dyDescent="0.25">
      <c r="A624" s="19">
        <v>26919</v>
      </c>
      <c r="B624" s="8">
        <v>85</v>
      </c>
    </row>
    <row r="625" spans="1:2" ht="13.8" x14ac:dyDescent="0.25">
      <c r="A625" s="20">
        <v>49196</v>
      </c>
      <c r="B625" s="8">
        <v>100</v>
      </c>
    </row>
    <row r="626" spans="1:2" ht="13.8" x14ac:dyDescent="0.25">
      <c r="A626" s="19">
        <v>505</v>
      </c>
      <c r="B626" s="8">
        <v>81</v>
      </c>
    </row>
    <row r="627" spans="1:2" ht="13.8" x14ac:dyDescent="0.25">
      <c r="A627" s="20">
        <v>15645</v>
      </c>
      <c r="B627" s="8">
        <v>56</v>
      </c>
    </row>
    <row r="628" spans="1:2" ht="13.8" x14ac:dyDescent="0.25">
      <c r="A628" s="19">
        <v>17013</v>
      </c>
      <c r="B628" s="8">
        <v>68</v>
      </c>
    </row>
    <row r="629" spans="1:2" ht="13.8" x14ac:dyDescent="0.25">
      <c r="A629" s="20">
        <v>20772</v>
      </c>
      <c r="B629" s="8">
        <v>70</v>
      </c>
    </row>
    <row r="630" spans="1:2" ht="13.8" x14ac:dyDescent="0.25">
      <c r="A630" s="19">
        <v>14520</v>
      </c>
      <c r="B630" s="8">
        <v>71</v>
      </c>
    </row>
    <row r="631" spans="1:2" ht="13.8" x14ac:dyDescent="0.25">
      <c r="A631" s="20">
        <v>29477</v>
      </c>
      <c r="B631" s="8">
        <v>94</v>
      </c>
    </row>
    <row r="632" spans="1:2" ht="13.8" x14ac:dyDescent="0.25">
      <c r="A632" s="19">
        <v>13457</v>
      </c>
      <c r="B632" s="8">
        <v>97</v>
      </c>
    </row>
    <row r="633" spans="1:2" ht="13.8" x14ac:dyDescent="0.25">
      <c r="A633" s="20">
        <v>49816</v>
      </c>
      <c r="B633" s="8">
        <v>50</v>
      </c>
    </row>
    <row r="634" spans="1:2" ht="13.8" x14ac:dyDescent="0.25">
      <c r="A634" s="19">
        <v>11727</v>
      </c>
      <c r="B634" s="8">
        <v>49</v>
      </c>
    </row>
    <row r="635" spans="1:2" ht="13.8" x14ac:dyDescent="0.25">
      <c r="A635" s="20">
        <v>7672</v>
      </c>
      <c r="B635" s="8">
        <v>63</v>
      </c>
    </row>
    <row r="636" spans="1:2" ht="13.8" x14ac:dyDescent="0.25">
      <c r="A636" s="19">
        <v>44669</v>
      </c>
      <c r="B636" s="8">
        <v>65</v>
      </c>
    </row>
    <row r="637" spans="1:2" ht="13.8" x14ac:dyDescent="0.25">
      <c r="A637" s="20">
        <v>16944</v>
      </c>
      <c r="B637" s="8">
        <v>82</v>
      </c>
    </row>
    <row r="638" spans="1:2" ht="13.8" x14ac:dyDescent="0.25">
      <c r="A638" s="19">
        <v>39541</v>
      </c>
      <c r="B638" s="8">
        <v>66</v>
      </c>
    </row>
    <row r="639" spans="1:2" ht="13.8" x14ac:dyDescent="0.25">
      <c r="A639" s="20">
        <v>1054</v>
      </c>
      <c r="B639" s="8">
        <v>74</v>
      </c>
    </row>
    <row r="640" spans="1:2" ht="13.8" x14ac:dyDescent="0.25">
      <c r="A640" s="19">
        <v>18037</v>
      </c>
      <c r="B640" s="8">
        <v>50</v>
      </c>
    </row>
    <row r="641" spans="1:2" ht="13.8" x14ac:dyDescent="0.25">
      <c r="A641" s="20">
        <v>41025</v>
      </c>
      <c r="B641" s="8">
        <v>94</v>
      </c>
    </row>
    <row r="642" spans="1:2" ht="13.8" x14ac:dyDescent="0.25">
      <c r="A642" s="19">
        <v>21537</v>
      </c>
      <c r="B642" s="8">
        <v>91</v>
      </c>
    </row>
    <row r="643" spans="1:2" ht="13.8" x14ac:dyDescent="0.25">
      <c r="A643" s="20">
        <v>39390</v>
      </c>
      <c r="B643" s="8">
        <v>68</v>
      </c>
    </row>
    <row r="644" spans="1:2" ht="13.8" x14ac:dyDescent="0.25">
      <c r="A644" s="19">
        <v>10992</v>
      </c>
      <c r="B644" s="8">
        <v>68</v>
      </c>
    </row>
    <row r="645" spans="1:2" ht="13.8" x14ac:dyDescent="0.25">
      <c r="A645" s="20">
        <v>7774</v>
      </c>
      <c r="B645" s="8">
        <v>69</v>
      </c>
    </row>
    <row r="646" spans="1:2" ht="13.8" x14ac:dyDescent="0.25">
      <c r="A646" s="19">
        <v>19434</v>
      </c>
      <c r="B646" s="8">
        <v>53</v>
      </c>
    </row>
    <row r="647" spans="1:2" ht="13.8" x14ac:dyDescent="0.25">
      <c r="A647" s="20">
        <v>5918</v>
      </c>
      <c r="B647" s="8">
        <v>66</v>
      </c>
    </row>
    <row r="648" spans="1:2" ht="13.8" x14ac:dyDescent="0.25">
      <c r="A648" s="19">
        <v>47786</v>
      </c>
      <c r="B648" s="8">
        <v>84</v>
      </c>
    </row>
    <row r="649" spans="1:2" ht="13.8" x14ac:dyDescent="0.25">
      <c r="A649" s="20">
        <v>34071</v>
      </c>
      <c r="B649" s="8">
        <v>77</v>
      </c>
    </row>
    <row r="650" spans="1:2" ht="13.8" x14ac:dyDescent="0.25">
      <c r="A650" s="19">
        <v>8629</v>
      </c>
      <c r="B650" s="8">
        <v>85</v>
      </c>
    </row>
    <row r="651" spans="1:2" ht="13.8" x14ac:dyDescent="0.25">
      <c r="A651" s="20">
        <v>4713</v>
      </c>
      <c r="B651" s="8">
        <v>58</v>
      </c>
    </row>
    <row r="652" spans="1:2" ht="13.8" x14ac:dyDescent="0.25">
      <c r="A652" s="19">
        <v>38389</v>
      </c>
      <c r="B652" s="8">
        <v>60</v>
      </c>
    </row>
    <row r="653" spans="1:2" ht="13.8" x14ac:dyDescent="0.25">
      <c r="A653" s="20">
        <v>4039</v>
      </c>
      <c r="B653" s="8">
        <v>74</v>
      </c>
    </row>
    <row r="654" spans="1:2" ht="13.8" x14ac:dyDescent="0.25">
      <c r="A654" s="19">
        <v>983</v>
      </c>
      <c r="B654" s="8">
        <v>74</v>
      </c>
    </row>
    <row r="655" spans="1:2" ht="13.8" x14ac:dyDescent="0.25">
      <c r="A655" s="20">
        <v>22146</v>
      </c>
      <c r="B655" s="8">
        <v>40</v>
      </c>
    </row>
    <row r="656" spans="1:2" ht="13.8" x14ac:dyDescent="0.25">
      <c r="A656" s="19">
        <v>3069</v>
      </c>
      <c r="B656" s="8">
        <v>95</v>
      </c>
    </row>
    <row r="657" spans="1:2" ht="13.8" x14ac:dyDescent="0.25">
      <c r="A657" s="20">
        <v>26206</v>
      </c>
      <c r="B657" s="8">
        <v>52</v>
      </c>
    </row>
    <row r="658" spans="1:2" ht="13.8" x14ac:dyDescent="0.25">
      <c r="A658" s="19">
        <v>24901</v>
      </c>
      <c r="B658" s="8">
        <v>76</v>
      </c>
    </row>
    <row r="659" spans="1:2" ht="13.8" x14ac:dyDescent="0.25">
      <c r="A659" s="20">
        <v>38183</v>
      </c>
      <c r="B659" s="8">
        <v>92</v>
      </c>
    </row>
    <row r="660" spans="1:2" ht="13.8" x14ac:dyDescent="0.25">
      <c r="A660" s="19">
        <v>22352</v>
      </c>
      <c r="B660" s="8">
        <v>88</v>
      </c>
    </row>
    <row r="661" spans="1:2" ht="13.8" x14ac:dyDescent="0.25">
      <c r="A661" s="20">
        <v>18549</v>
      </c>
      <c r="B661" s="8">
        <v>82</v>
      </c>
    </row>
    <row r="662" spans="1:2" ht="13.8" x14ac:dyDescent="0.25">
      <c r="A662" s="19">
        <v>36784</v>
      </c>
      <c r="B662" s="8">
        <v>42</v>
      </c>
    </row>
    <row r="663" spans="1:2" ht="13.8" x14ac:dyDescent="0.25">
      <c r="A663" s="20">
        <v>1712</v>
      </c>
      <c r="B663" s="8">
        <v>96</v>
      </c>
    </row>
    <row r="664" spans="1:2" ht="13.8" x14ac:dyDescent="0.25">
      <c r="A664" s="19">
        <v>32375</v>
      </c>
      <c r="B664" s="8">
        <v>49</v>
      </c>
    </row>
    <row r="665" spans="1:2" ht="13.8" x14ac:dyDescent="0.25">
      <c r="A665" s="20">
        <v>11371</v>
      </c>
      <c r="B665" s="8">
        <v>78</v>
      </c>
    </row>
    <row r="666" spans="1:2" ht="13.8" x14ac:dyDescent="0.25">
      <c r="A666" s="19">
        <v>44086</v>
      </c>
      <c r="B666" s="8">
        <v>67</v>
      </c>
    </row>
    <row r="667" spans="1:2" ht="13.8" x14ac:dyDescent="0.25">
      <c r="A667" s="20">
        <v>14493</v>
      </c>
      <c r="B667" s="8">
        <v>57</v>
      </c>
    </row>
    <row r="668" spans="1:2" ht="13.8" x14ac:dyDescent="0.25">
      <c r="A668" s="19">
        <v>10208</v>
      </c>
      <c r="B668" s="8">
        <v>70</v>
      </c>
    </row>
    <row r="669" spans="1:2" ht="13.8" x14ac:dyDescent="0.25">
      <c r="A669" s="20">
        <v>1967</v>
      </c>
      <c r="B669" s="8">
        <v>64</v>
      </c>
    </row>
    <row r="670" spans="1:2" ht="13.8" x14ac:dyDescent="0.25">
      <c r="A670" s="19">
        <v>28945</v>
      </c>
      <c r="B670" s="8">
        <v>48</v>
      </c>
    </row>
    <row r="671" spans="1:2" ht="13.8" x14ac:dyDescent="0.25">
      <c r="A671" s="20">
        <v>46732</v>
      </c>
      <c r="B671" s="8">
        <v>41</v>
      </c>
    </row>
    <row r="672" spans="1:2" ht="13.8" x14ac:dyDescent="0.25">
      <c r="A672" s="19">
        <v>12900</v>
      </c>
      <c r="B672" s="8">
        <v>86</v>
      </c>
    </row>
    <row r="673" spans="1:2" ht="13.8" x14ac:dyDescent="0.25">
      <c r="A673" s="20">
        <v>26714</v>
      </c>
      <c r="B673" s="8">
        <v>51</v>
      </c>
    </row>
    <row r="674" spans="1:2" ht="13.8" x14ac:dyDescent="0.25">
      <c r="A674" s="19">
        <v>19051</v>
      </c>
      <c r="B674" s="8">
        <v>63</v>
      </c>
    </row>
    <row r="675" spans="1:2" ht="13.8" x14ac:dyDescent="0.25">
      <c r="A675" s="20">
        <v>24981</v>
      </c>
      <c r="B675" s="8">
        <v>99</v>
      </c>
    </row>
    <row r="676" spans="1:2" ht="13.8" x14ac:dyDescent="0.25">
      <c r="A676" s="19">
        <v>7348</v>
      </c>
      <c r="B676" s="8">
        <v>85</v>
      </c>
    </row>
    <row r="677" spans="1:2" ht="13.8" x14ac:dyDescent="0.25">
      <c r="A677" s="20">
        <v>2085</v>
      </c>
      <c r="B677" s="8">
        <v>65</v>
      </c>
    </row>
    <row r="678" spans="1:2" ht="13.8" x14ac:dyDescent="0.25">
      <c r="A678" s="19">
        <v>12344</v>
      </c>
      <c r="B678" s="8">
        <v>40</v>
      </c>
    </row>
    <row r="679" spans="1:2" ht="13.8" x14ac:dyDescent="0.25">
      <c r="A679" s="20">
        <v>48704</v>
      </c>
      <c r="B679" s="8">
        <v>79</v>
      </c>
    </row>
    <row r="680" spans="1:2" ht="13.8" x14ac:dyDescent="0.25">
      <c r="A680" s="19">
        <v>47037</v>
      </c>
      <c r="B680" s="8">
        <v>40</v>
      </c>
    </row>
    <row r="681" spans="1:2" ht="13.8" x14ac:dyDescent="0.25">
      <c r="A681" s="20">
        <v>32510</v>
      </c>
      <c r="B681" s="8">
        <v>71</v>
      </c>
    </row>
    <row r="682" spans="1:2" ht="13.8" x14ac:dyDescent="0.25">
      <c r="A682" s="19">
        <v>4072</v>
      </c>
      <c r="B682" s="8">
        <v>73</v>
      </c>
    </row>
    <row r="683" spans="1:2" ht="13.8" x14ac:dyDescent="0.25">
      <c r="A683" s="20">
        <v>40020</v>
      </c>
      <c r="B683" s="8">
        <v>75</v>
      </c>
    </row>
    <row r="684" spans="1:2" ht="13.8" x14ac:dyDescent="0.25">
      <c r="A684" s="19">
        <v>13419</v>
      </c>
      <c r="B684" s="8">
        <v>63</v>
      </c>
    </row>
    <row r="685" spans="1:2" ht="13.8" x14ac:dyDescent="0.25">
      <c r="A685" s="20">
        <v>6207</v>
      </c>
      <c r="B685" s="8">
        <v>97</v>
      </c>
    </row>
    <row r="686" spans="1:2" ht="13.8" x14ac:dyDescent="0.25">
      <c r="A686" s="19">
        <v>35072</v>
      </c>
      <c r="B686" s="8">
        <v>85</v>
      </c>
    </row>
    <row r="687" spans="1:2" ht="13.8" x14ac:dyDescent="0.25">
      <c r="A687" s="20">
        <v>9020</v>
      </c>
      <c r="B687" s="8">
        <v>88</v>
      </c>
    </row>
    <row r="688" spans="1:2" ht="13.8" x14ac:dyDescent="0.25">
      <c r="A688" s="19">
        <v>4268</v>
      </c>
      <c r="B688" s="8">
        <v>84</v>
      </c>
    </row>
    <row r="689" spans="1:2" ht="13.8" x14ac:dyDescent="0.25">
      <c r="A689" s="20">
        <v>902</v>
      </c>
      <c r="B689" s="8">
        <v>69</v>
      </c>
    </row>
    <row r="690" spans="1:2" ht="13.8" x14ac:dyDescent="0.25">
      <c r="A690" s="19">
        <v>41953</v>
      </c>
      <c r="B690" s="8">
        <v>93</v>
      </c>
    </row>
    <row r="691" spans="1:2" ht="13.8" x14ac:dyDescent="0.25">
      <c r="A691" s="20">
        <v>31760</v>
      </c>
      <c r="B691" s="8">
        <v>42</v>
      </c>
    </row>
    <row r="692" spans="1:2" ht="13.8" x14ac:dyDescent="0.25">
      <c r="A692" s="19">
        <v>48106</v>
      </c>
      <c r="B692" s="8">
        <v>81</v>
      </c>
    </row>
    <row r="693" spans="1:2" ht="13.8" x14ac:dyDescent="0.25">
      <c r="A693" s="20">
        <v>36722</v>
      </c>
      <c r="B693" s="8">
        <v>61</v>
      </c>
    </row>
    <row r="694" spans="1:2" ht="13.8" x14ac:dyDescent="0.25">
      <c r="A694" s="19">
        <v>13795</v>
      </c>
      <c r="B694" s="8">
        <v>60</v>
      </c>
    </row>
    <row r="695" spans="1:2" ht="13.8" x14ac:dyDescent="0.25">
      <c r="A695" s="20">
        <v>38856</v>
      </c>
      <c r="B695" s="8">
        <v>45</v>
      </c>
    </row>
    <row r="696" spans="1:2" ht="13.8" x14ac:dyDescent="0.25">
      <c r="A696" s="19">
        <v>41040</v>
      </c>
      <c r="B696" s="8">
        <v>71</v>
      </c>
    </row>
    <row r="697" spans="1:2" ht="13.8" x14ac:dyDescent="0.25">
      <c r="A697" s="20">
        <v>20061</v>
      </c>
      <c r="B697" s="8">
        <v>68</v>
      </c>
    </row>
    <row r="698" spans="1:2" ht="13.8" x14ac:dyDescent="0.25">
      <c r="A698" s="19">
        <v>43549</v>
      </c>
      <c r="B698" s="8">
        <v>57</v>
      </c>
    </row>
    <row r="699" spans="1:2" ht="13.8" x14ac:dyDescent="0.25">
      <c r="A699" s="20">
        <v>16275</v>
      </c>
      <c r="B699" s="8">
        <v>51</v>
      </c>
    </row>
    <row r="700" spans="1:2" ht="13.8" x14ac:dyDescent="0.25">
      <c r="A700" s="19">
        <v>24290</v>
      </c>
      <c r="B700" s="8">
        <v>81</v>
      </c>
    </row>
    <row r="701" spans="1:2" ht="13.8" x14ac:dyDescent="0.25">
      <c r="A701" s="20">
        <v>2601</v>
      </c>
      <c r="B701" s="8">
        <v>70</v>
      </c>
    </row>
    <row r="702" spans="1:2" ht="13.8" x14ac:dyDescent="0.25">
      <c r="A702" s="19">
        <v>3787</v>
      </c>
      <c r="B702" s="8">
        <v>76</v>
      </c>
    </row>
    <row r="703" spans="1:2" ht="13.8" x14ac:dyDescent="0.25">
      <c r="A703" s="20">
        <v>22537</v>
      </c>
      <c r="B703" s="8">
        <v>42</v>
      </c>
    </row>
    <row r="704" spans="1:2" ht="13.8" x14ac:dyDescent="0.25">
      <c r="A704" s="19">
        <v>8774</v>
      </c>
      <c r="B704" s="8">
        <v>96</v>
      </c>
    </row>
    <row r="705" spans="1:2" ht="13.8" x14ac:dyDescent="0.25">
      <c r="A705" s="20">
        <v>31423</v>
      </c>
      <c r="B705" s="8">
        <v>70</v>
      </c>
    </row>
    <row r="706" spans="1:2" ht="13.8" x14ac:dyDescent="0.25">
      <c r="A706" s="19">
        <v>15698</v>
      </c>
      <c r="B706" s="8">
        <v>96</v>
      </c>
    </row>
    <row r="707" spans="1:2" ht="13.8" x14ac:dyDescent="0.25">
      <c r="A707" s="20">
        <v>5917</v>
      </c>
      <c r="B707" s="8">
        <v>58</v>
      </c>
    </row>
    <row r="708" spans="1:2" ht="13.8" x14ac:dyDescent="0.25">
      <c r="A708" s="19">
        <v>29112</v>
      </c>
      <c r="B708" s="8">
        <v>60</v>
      </c>
    </row>
    <row r="709" spans="1:2" ht="13.8" x14ac:dyDescent="0.25">
      <c r="A709" s="20">
        <v>30385</v>
      </c>
      <c r="B709" s="8">
        <v>81</v>
      </c>
    </row>
    <row r="710" spans="1:2" ht="13.8" x14ac:dyDescent="0.25">
      <c r="A710" s="19">
        <v>29604</v>
      </c>
      <c r="B710" s="8">
        <v>55</v>
      </c>
    </row>
    <row r="711" spans="1:2" ht="13.8" x14ac:dyDescent="0.25">
      <c r="A711" s="20">
        <v>38693</v>
      </c>
      <c r="B711" s="8">
        <v>67</v>
      </c>
    </row>
    <row r="712" spans="1:2" ht="13.8" x14ac:dyDescent="0.25">
      <c r="A712" s="19">
        <v>25345</v>
      </c>
      <c r="B712" s="8">
        <v>62</v>
      </c>
    </row>
    <row r="713" spans="1:2" ht="13.8" x14ac:dyDescent="0.25">
      <c r="A713" s="20">
        <v>30846</v>
      </c>
      <c r="B713" s="8">
        <v>46</v>
      </c>
    </row>
    <row r="714" spans="1:2" ht="13.8" x14ac:dyDescent="0.25">
      <c r="A714" s="19">
        <v>49901</v>
      </c>
      <c r="B714" s="8">
        <v>68</v>
      </c>
    </row>
    <row r="715" spans="1:2" ht="13.8" x14ac:dyDescent="0.25">
      <c r="A715" s="20">
        <v>38812</v>
      </c>
      <c r="B715" s="8">
        <v>95</v>
      </c>
    </row>
    <row r="716" spans="1:2" ht="13.8" x14ac:dyDescent="0.25">
      <c r="A716" s="19">
        <v>44471</v>
      </c>
      <c r="B716" s="8">
        <v>66</v>
      </c>
    </row>
    <row r="717" spans="1:2" ht="13.8" x14ac:dyDescent="0.25">
      <c r="A717" s="20">
        <v>7992</v>
      </c>
      <c r="B717" s="8">
        <v>76</v>
      </c>
    </row>
    <row r="718" spans="1:2" ht="13.8" x14ac:dyDescent="0.25">
      <c r="A718" s="19">
        <v>19368</v>
      </c>
      <c r="B718" s="8">
        <v>55</v>
      </c>
    </row>
    <row r="719" spans="1:2" ht="13.8" x14ac:dyDescent="0.25">
      <c r="A719" s="20">
        <v>44768</v>
      </c>
      <c r="B719" s="8">
        <v>53</v>
      </c>
    </row>
    <row r="720" spans="1:2" ht="13.8" x14ac:dyDescent="0.25">
      <c r="A720" s="19">
        <v>44534</v>
      </c>
      <c r="B720" s="8">
        <v>99</v>
      </c>
    </row>
    <row r="721" spans="1:2" ht="13.8" x14ac:dyDescent="0.25">
      <c r="A721" s="20">
        <v>49738</v>
      </c>
      <c r="B721" s="8">
        <v>88</v>
      </c>
    </row>
    <row r="722" spans="1:2" ht="13.8" x14ac:dyDescent="0.25">
      <c r="A722" s="19">
        <v>1751</v>
      </c>
      <c r="B722" s="8">
        <v>57</v>
      </c>
    </row>
    <row r="723" spans="1:2" ht="13.8" x14ac:dyDescent="0.25">
      <c r="A723" s="20">
        <v>45809</v>
      </c>
      <c r="B723" s="8">
        <v>77</v>
      </c>
    </row>
    <row r="724" spans="1:2" ht="13.8" x14ac:dyDescent="0.25">
      <c r="A724" s="19">
        <v>783</v>
      </c>
      <c r="B724" s="8">
        <v>92</v>
      </c>
    </row>
    <row r="725" spans="1:2" ht="13.8" x14ac:dyDescent="0.25">
      <c r="A725" s="20">
        <v>22240</v>
      </c>
      <c r="B725" s="8">
        <v>69</v>
      </c>
    </row>
    <row r="726" spans="1:2" ht="13.8" x14ac:dyDescent="0.25">
      <c r="A726" s="19">
        <v>11893</v>
      </c>
      <c r="B726" s="8">
        <v>61</v>
      </c>
    </row>
    <row r="727" spans="1:2" ht="13.8" x14ac:dyDescent="0.25">
      <c r="A727" s="20">
        <v>27522</v>
      </c>
      <c r="B727" s="8">
        <v>63</v>
      </c>
    </row>
    <row r="728" spans="1:2" ht="13.8" x14ac:dyDescent="0.25">
      <c r="A728" s="19">
        <v>1944</v>
      </c>
      <c r="B728" s="8">
        <v>59</v>
      </c>
    </row>
    <row r="729" spans="1:2" ht="13.8" x14ac:dyDescent="0.25">
      <c r="A729" s="20">
        <v>11844</v>
      </c>
      <c r="B729" s="8">
        <v>56</v>
      </c>
    </row>
    <row r="730" spans="1:2" ht="13.8" x14ac:dyDescent="0.25">
      <c r="A730" s="19">
        <v>32436</v>
      </c>
      <c r="B730" s="8">
        <v>70</v>
      </c>
    </row>
    <row r="731" spans="1:2" ht="13.8" x14ac:dyDescent="0.25">
      <c r="A731" s="20">
        <v>10288</v>
      </c>
      <c r="B731" s="8">
        <v>68.5</v>
      </c>
    </row>
    <row r="732" spans="1:2" ht="13.8" x14ac:dyDescent="0.25">
      <c r="A732" s="19">
        <v>25447</v>
      </c>
      <c r="B732" s="8">
        <v>85</v>
      </c>
    </row>
    <row r="733" spans="1:2" ht="13.8" x14ac:dyDescent="0.25">
      <c r="A733" s="20">
        <v>2855</v>
      </c>
      <c r="B733" s="8">
        <v>90</v>
      </c>
    </row>
    <row r="734" spans="1:2" ht="13.8" x14ac:dyDescent="0.25">
      <c r="A734" s="19">
        <v>36539</v>
      </c>
      <c r="B734" s="8">
        <v>91</v>
      </c>
    </row>
    <row r="735" spans="1:2" ht="13.8" x14ac:dyDescent="0.25">
      <c r="A735" s="20">
        <v>37839</v>
      </c>
      <c r="B735" s="8">
        <v>80</v>
      </c>
    </row>
    <row r="736" spans="1:2" ht="13.8" x14ac:dyDescent="0.25">
      <c r="A736" s="19">
        <v>23875</v>
      </c>
      <c r="B736" s="8">
        <v>97</v>
      </c>
    </row>
    <row r="737" spans="1:2" ht="13.8" x14ac:dyDescent="0.25">
      <c r="A737" s="20">
        <v>42802</v>
      </c>
      <c r="B737" s="8">
        <v>69</v>
      </c>
    </row>
    <row r="738" spans="1:2" ht="13.8" x14ac:dyDescent="0.25">
      <c r="A738" s="19">
        <v>42084</v>
      </c>
      <c r="B738" s="8">
        <v>61</v>
      </c>
    </row>
    <row r="739" spans="1:2" ht="13.8" x14ac:dyDescent="0.25">
      <c r="A739" s="20">
        <v>32778</v>
      </c>
      <c r="B739" s="8">
        <v>91</v>
      </c>
    </row>
    <row r="740" spans="1:2" ht="13.8" x14ac:dyDescent="0.25">
      <c r="A740" s="19">
        <v>27342</v>
      </c>
      <c r="B740" s="8">
        <v>53</v>
      </c>
    </row>
    <row r="741" spans="1:2" ht="13.8" x14ac:dyDescent="0.25">
      <c r="A741" s="20">
        <v>15520</v>
      </c>
      <c r="B741" s="8">
        <v>42</v>
      </c>
    </row>
    <row r="742" spans="1:2" ht="13.8" x14ac:dyDescent="0.25">
      <c r="A742" s="19">
        <v>49242</v>
      </c>
      <c r="B742" s="8">
        <v>76</v>
      </c>
    </row>
    <row r="743" spans="1:2" ht="13.8" x14ac:dyDescent="0.25">
      <c r="A743" s="20">
        <v>25355</v>
      </c>
      <c r="B743" s="8">
        <v>52</v>
      </c>
    </row>
    <row r="744" spans="1:2" ht="13.8" x14ac:dyDescent="0.25">
      <c r="A744" s="19">
        <v>11588</v>
      </c>
      <c r="B744" s="8">
        <v>98</v>
      </c>
    </row>
    <row r="745" spans="1:2" ht="13.8" x14ac:dyDescent="0.25">
      <c r="A745" s="20">
        <v>30493</v>
      </c>
      <c r="B745" s="8">
        <v>87</v>
      </c>
    </row>
    <row r="746" spans="1:2" ht="13.8" x14ac:dyDescent="0.25">
      <c r="A746" s="19">
        <v>5224</v>
      </c>
      <c r="B746" s="8">
        <v>88</v>
      </c>
    </row>
    <row r="747" spans="1:2" ht="13.8" x14ac:dyDescent="0.25">
      <c r="A747" s="20">
        <v>8752</v>
      </c>
      <c r="B747" s="8">
        <v>47</v>
      </c>
    </row>
    <row r="748" spans="1:2" ht="13.8" x14ac:dyDescent="0.25">
      <c r="A748" s="19">
        <v>12635</v>
      </c>
      <c r="B748" s="8">
        <v>85</v>
      </c>
    </row>
    <row r="749" spans="1:2" ht="13.8" x14ac:dyDescent="0.25">
      <c r="A749" s="20">
        <v>9918</v>
      </c>
      <c r="B749" s="8">
        <v>43</v>
      </c>
    </row>
    <row r="750" spans="1:2" ht="13.8" x14ac:dyDescent="0.25">
      <c r="A750" s="19">
        <v>15881</v>
      </c>
      <c r="B750" s="8">
        <v>44</v>
      </c>
    </row>
    <row r="751" spans="1:2" ht="13.8" x14ac:dyDescent="0.25">
      <c r="A751" s="20">
        <v>16556</v>
      </c>
      <c r="B751" s="8">
        <v>96</v>
      </c>
    </row>
    <row r="752" spans="1:2" ht="13.8" x14ac:dyDescent="0.25">
      <c r="A752" s="19">
        <v>42083</v>
      </c>
      <c r="B752" s="8">
        <v>77</v>
      </c>
    </row>
    <row r="753" spans="1:2" ht="13.8" x14ac:dyDescent="0.25">
      <c r="A753" s="20">
        <v>2148</v>
      </c>
      <c r="B753" s="8">
        <v>48</v>
      </c>
    </row>
    <row r="754" spans="1:2" ht="13.8" x14ac:dyDescent="0.25">
      <c r="A754" s="19">
        <v>30955</v>
      </c>
      <c r="B754" s="8">
        <v>62</v>
      </c>
    </row>
    <row r="755" spans="1:2" ht="13.8" x14ac:dyDescent="0.25">
      <c r="A755" s="20">
        <v>28180</v>
      </c>
      <c r="B755" s="8">
        <v>93</v>
      </c>
    </row>
    <row r="756" spans="1:2" ht="13.8" x14ac:dyDescent="0.25">
      <c r="A756" s="19">
        <v>49027</v>
      </c>
      <c r="B756" s="8">
        <v>81</v>
      </c>
    </row>
    <row r="757" spans="1:2" ht="13.8" x14ac:dyDescent="0.25">
      <c r="A757" s="20">
        <v>16333</v>
      </c>
      <c r="B757" s="8">
        <v>60</v>
      </c>
    </row>
    <row r="758" spans="1:2" ht="13.8" x14ac:dyDescent="0.25">
      <c r="A758" s="19">
        <v>11138</v>
      </c>
      <c r="B758" s="8">
        <v>95</v>
      </c>
    </row>
    <row r="759" spans="1:2" ht="13.8" x14ac:dyDescent="0.25">
      <c r="A759" s="20">
        <v>35830</v>
      </c>
      <c r="B759" s="8">
        <v>83</v>
      </c>
    </row>
    <row r="760" spans="1:2" ht="13.8" x14ac:dyDescent="0.25">
      <c r="A760" s="19">
        <v>1592</v>
      </c>
      <c r="B760" s="8">
        <v>45</v>
      </c>
    </row>
    <row r="761" spans="1:2" ht="13.8" x14ac:dyDescent="0.25">
      <c r="A761" s="20">
        <v>34377</v>
      </c>
      <c r="B761" s="8">
        <v>74</v>
      </c>
    </row>
    <row r="762" spans="1:2" ht="13.8" x14ac:dyDescent="0.25">
      <c r="A762" s="19">
        <v>18278</v>
      </c>
      <c r="B762" s="8">
        <v>53</v>
      </c>
    </row>
    <row r="763" spans="1:2" ht="13.8" x14ac:dyDescent="0.25">
      <c r="A763" s="20">
        <v>27597</v>
      </c>
      <c r="B763" s="8">
        <v>72</v>
      </c>
    </row>
    <row r="764" spans="1:2" ht="13.8" x14ac:dyDescent="0.25">
      <c r="A764" s="19">
        <v>23505</v>
      </c>
      <c r="B764" s="8">
        <v>49</v>
      </c>
    </row>
    <row r="765" spans="1:2" ht="13.8" x14ac:dyDescent="0.25">
      <c r="A765" s="20">
        <v>7320</v>
      </c>
      <c r="B765" s="8">
        <v>48</v>
      </c>
    </row>
    <row r="766" spans="1:2" ht="13.8" x14ac:dyDescent="0.25">
      <c r="A766" s="19">
        <v>12607</v>
      </c>
      <c r="B766" s="8">
        <v>56</v>
      </c>
    </row>
    <row r="767" spans="1:2" ht="13.8" x14ac:dyDescent="0.25">
      <c r="A767" s="20">
        <v>1093</v>
      </c>
      <c r="B767" s="8">
        <v>79</v>
      </c>
    </row>
    <row r="768" spans="1:2" ht="13.8" x14ac:dyDescent="0.25">
      <c r="A768" s="19">
        <v>39011</v>
      </c>
      <c r="B768" s="8">
        <v>95</v>
      </c>
    </row>
    <row r="769" spans="1:2" ht="13.8" x14ac:dyDescent="0.25">
      <c r="A769" s="20">
        <v>16040</v>
      </c>
      <c r="B769" s="8">
        <v>89</v>
      </c>
    </row>
    <row r="770" spans="1:2" ht="13.8" x14ac:dyDescent="0.25">
      <c r="A770" s="19">
        <v>42542</v>
      </c>
      <c r="B770" s="8">
        <v>75</v>
      </c>
    </row>
    <row r="771" spans="1:2" ht="13.8" x14ac:dyDescent="0.25">
      <c r="A771" s="20">
        <v>27622</v>
      </c>
      <c r="B771" s="8">
        <v>95</v>
      </c>
    </row>
    <row r="772" spans="1:2" ht="13.8" x14ac:dyDescent="0.25">
      <c r="A772" s="19">
        <v>24024</v>
      </c>
      <c r="B772" s="8">
        <v>59</v>
      </c>
    </row>
    <row r="773" spans="1:2" ht="13.8" x14ac:dyDescent="0.25">
      <c r="A773" s="20">
        <v>8732</v>
      </c>
      <c r="B773" s="8">
        <v>52</v>
      </c>
    </row>
    <row r="774" spans="1:2" ht="13.8" x14ac:dyDescent="0.25">
      <c r="A774" s="19">
        <v>22415</v>
      </c>
      <c r="B774" s="8">
        <v>43</v>
      </c>
    </row>
    <row r="775" spans="1:2" ht="13.8" x14ac:dyDescent="0.25">
      <c r="A775" s="20">
        <v>49115</v>
      </c>
      <c r="B775" s="8">
        <v>59</v>
      </c>
    </row>
    <row r="776" spans="1:2" ht="13.8" x14ac:dyDescent="0.25">
      <c r="A776" s="19">
        <v>43985</v>
      </c>
      <c r="B776" s="8">
        <v>47</v>
      </c>
    </row>
    <row r="777" spans="1:2" ht="13.8" x14ac:dyDescent="0.25">
      <c r="A777" s="20">
        <v>45430</v>
      </c>
      <c r="B777" s="8">
        <v>78</v>
      </c>
    </row>
    <row r="778" spans="1:2" ht="13.8" x14ac:dyDescent="0.25">
      <c r="A778" s="19">
        <v>33350</v>
      </c>
      <c r="B778" s="8">
        <v>61</v>
      </c>
    </row>
    <row r="779" spans="1:2" ht="13.8" x14ac:dyDescent="0.25">
      <c r="A779" s="20">
        <v>7685</v>
      </c>
      <c r="B779" s="8">
        <v>60</v>
      </c>
    </row>
    <row r="780" spans="1:2" ht="13.8" x14ac:dyDescent="0.25">
      <c r="A780" s="19">
        <v>40994</v>
      </c>
      <c r="B780" s="8">
        <v>55</v>
      </c>
    </row>
    <row r="781" spans="1:2" ht="13.8" x14ac:dyDescent="0.25">
      <c r="A781" s="20">
        <v>27712</v>
      </c>
      <c r="B781" s="8">
        <v>78</v>
      </c>
    </row>
    <row r="782" spans="1:2" ht="13.8" x14ac:dyDescent="0.25">
      <c r="A782" s="19">
        <v>37034</v>
      </c>
      <c r="B782" s="8">
        <v>94</v>
      </c>
    </row>
    <row r="783" spans="1:2" ht="13.8" x14ac:dyDescent="0.25">
      <c r="A783" s="20">
        <v>10682</v>
      </c>
      <c r="B783" s="8">
        <v>90</v>
      </c>
    </row>
    <row r="784" spans="1:2" ht="13.8" x14ac:dyDescent="0.25">
      <c r="A784" s="19">
        <v>2088</v>
      </c>
      <c r="B784" s="8">
        <v>70</v>
      </c>
    </row>
    <row r="785" spans="1:2" ht="13.8" x14ac:dyDescent="0.25">
      <c r="A785" s="20">
        <v>12629</v>
      </c>
      <c r="B785" s="8">
        <v>96</v>
      </c>
    </row>
    <row r="786" spans="1:2" ht="13.8" x14ac:dyDescent="0.25">
      <c r="A786" s="19">
        <v>41558</v>
      </c>
      <c r="B786" s="8">
        <v>87</v>
      </c>
    </row>
    <row r="787" spans="1:2" ht="13.8" x14ac:dyDescent="0.25">
      <c r="A787" s="20">
        <v>14935</v>
      </c>
      <c r="B787" s="8">
        <v>73</v>
      </c>
    </row>
    <row r="788" spans="1:2" ht="13.8" x14ac:dyDescent="0.25">
      <c r="A788" s="19">
        <v>28923</v>
      </c>
      <c r="B788" s="8">
        <v>60</v>
      </c>
    </row>
    <row r="789" spans="1:2" ht="13.8" x14ac:dyDescent="0.25">
      <c r="A789" s="20">
        <v>2612</v>
      </c>
      <c r="B789" s="8">
        <v>73</v>
      </c>
    </row>
    <row r="790" spans="1:2" ht="13.8" x14ac:dyDescent="0.25">
      <c r="A790" s="19">
        <v>33242</v>
      </c>
      <c r="B790" s="8">
        <v>54</v>
      </c>
    </row>
    <row r="791" spans="1:2" ht="13.8" x14ac:dyDescent="0.25">
      <c r="A791" s="20">
        <v>29997</v>
      </c>
      <c r="B791" s="8">
        <v>81</v>
      </c>
    </row>
    <row r="792" spans="1:2" ht="13.8" x14ac:dyDescent="0.25">
      <c r="A792" s="19">
        <v>8268</v>
      </c>
      <c r="B792" s="8">
        <v>59</v>
      </c>
    </row>
    <row r="793" spans="1:2" ht="13.8" x14ac:dyDescent="0.25">
      <c r="A793" s="20">
        <v>40816</v>
      </c>
      <c r="B793" s="8">
        <v>92</v>
      </c>
    </row>
    <row r="794" spans="1:2" ht="13.8" x14ac:dyDescent="0.25">
      <c r="A794" s="19">
        <v>37476</v>
      </c>
      <c r="B794" s="8">
        <v>48</v>
      </c>
    </row>
    <row r="795" spans="1:2" ht="13.8" x14ac:dyDescent="0.25">
      <c r="A795" s="20">
        <v>48851</v>
      </c>
      <c r="B795" s="8">
        <v>41</v>
      </c>
    </row>
    <row r="796" spans="1:2" ht="13.8" x14ac:dyDescent="0.25">
      <c r="A796" s="19">
        <v>9459</v>
      </c>
      <c r="B796" s="8">
        <v>74</v>
      </c>
    </row>
    <row r="797" spans="1:2" ht="13.8" x14ac:dyDescent="0.25">
      <c r="A797" s="20">
        <v>48993</v>
      </c>
      <c r="B797" s="8">
        <v>59</v>
      </c>
    </row>
    <row r="798" spans="1:2" ht="13.8" x14ac:dyDescent="0.25">
      <c r="A798" s="19">
        <v>45040</v>
      </c>
      <c r="B798" s="8">
        <v>98</v>
      </c>
    </row>
    <row r="799" spans="1:2" ht="13.8" x14ac:dyDescent="0.25">
      <c r="A799" s="20">
        <v>29353</v>
      </c>
      <c r="B799" s="8">
        <v>90</v>
      </c>
    </row>
    <row r="800" spans="1:2" ht="13.8" x14ac:dyDescent="0.25">
      <c r="A800" s="19">
        <v>26384</v>
      </c>
      <c r="B800" s="8">
        <v>71</v>
      </c>
    </row>
    <row r="801" spans="1:2" ht="13.8" x14ac:dyDescent="0.25">
      <c r="A801" s="20">
        <v>671</v>
      </c>
      <c r="B801" s="8">
        <v>78</v>
      </c>
    </row>
    <row r="802" spans="1:2" ht="13.8" x14ac:dyDescent="0.25">
      <c r="A802" s="19">
        <v>26214</v>
      </c>
      <c r="B802" s="8">
        <v>48</v>
      </c>
    </row>
    <row r="803" spans="1:2" ht="13.8" x14ac:dyDescent="0.25">
      <c r="A803" s="20">
        <v>6704</v>
      </c>
      <c r="B803" s="8">
        <v>87</v>
      </c>
    </row>
    <row r="804" spans="1:2" ht="13.8" x14ac:dyDescent="0.25">
      <c r="A804" s="19">
        <v>17738</v>
      </c>
      <c r="B804" s="8">
        <v>53</v>
      </c>
    </row>
    <row r="805" spans="1:2" ht="13.8" x14ac:dyDescent="0.25">
      <c r="A805" s="20">
        <v>5567</v>
      </c>
      <c r="B805" s="8">
        <v>68</v>
      </c>
    </row>
    <row r="806" spans="1:2" ht="13.8" x14ac:dyDescent="0.25">
      <c r="A806" s="19">
        <v>7768</v>
      </c>
      <c r="B806" s="8">
        <v>92</v>
      </c>
    </row>
    <row r="807" spans="1:2" ht="13.8" x14ac:dyDescent="0.25">
      <c r="A807" s="20">
        <v>14891</v>
      </c>
      <c r="B807" s="8">
        <v>77</v>
      </c>
    </row>
    <row r="808" spans="1:2" ht="13.8" x14ac:dyDescent="0.25">
      <c r="A808" s="19">
        <v>9422</v>
      </c>
      <c r="B808" s="8">
        <v>97</v>
      </c>
    </row>
    <row r="809" spans="1:2" ht="13.8" x14ac:dyDescent="0.25">
      <c r="A809" s="20">
        <v>32076</v>
      </c>
      <c r="B809" s="8">
        <v>81</v>
      </c>
    </row>
    <row r="810" spans="1:2" ht="13.8" x14ac:dyDescent="0.25">
      <c r="A810" s="19">
        <v>8867</v>
      </c>
      <c r="B810" s="8">
        <v>93</v>
      </c>
    </row>
    <row r="811" spans="1:2" ht="13.8" x14ac:dyDescent="0.25">
      <c r="A811" s="20">
        <v>46722</v>
      </c>
      <c r="B811" s="8">
        <v>87</v>
      </c>
    </row>
    <row r="812" spans="1:2" ht="13.8" x14ac:dyDescent="0.25">
      <c r="A812" s="19">
        <v>32928</v>
      </c>
      <c r="B812" s="8">
        <v>85</v>
      </c>
    </row>
    <row r="813" spans="1:2" ht="13.8" x14ac:dyDescent="0.25">
      <c r="A813" s="20">
        <v>31107</v>
      </c>
      <c r="B813" s="8">
        <v>82</v>
      </c>
    </row>
    <row r="814" spans="1:2" ht="13.8" x14ac:dyDescent="0.25">
      <c r="A814" s="19">
        <v>32668</v>
      </c>
      <c r="B814" s="8">
        <v>86</v>
      </c>
    </row>
    <row r="815" spans="1:2" ht="13.8" x14ac:dyDescent="0.25">
      <c r="A815" s="20">
        <v>31033</v>
      </c>
      <c r="B815" s="8">
        <v>88</v>
      </c>
    </row>
    <row r="816" spans="1:2" ht="13.8" x14ac:dyDescent="0.25">
      <c r="A816" s="19">
        <v>45234</v>
      </c>
      <c r="B816" s="8">
        <v>55</v>
      </c>
    </row>
    <row r="817" spans="1:2" ht="13.8" x14ac:dyDescent="0.25">
      <c r="A817" s="20">
        <v>35939</v>
      </c>
      <c r="B817" s="8">
        <v>40</v>
      </c>
    </row>
    <row r="818" spans="1:2" ht="13.8" x14ac:dyDescent="0.25">
      <c r="A818" s="19">
        <v>46993</v>
      </c>
      <c r="B818" s="8">
        <v>82</v>
      </c>
    </row>
    <row r="819" spans="1:2" ht="13.8" x14ac:dyDescent="0.25">
      <c r="A819" s="20">
        <v>31235</v>
      </c>
      <c r="B819" s="8">
        <v>84</v>
      </c>
    </row>
    <row r="820" spans="1:2" ht="13.8" x14ac:dyDescent="0.25">
      <c r="A820" s="19">
        <v>29351</v>
      </c>
      <c r="B820" s="8">
        <v>60</v>
      </c>
    </row>
    <row r="821" spans="1:2" ht="13.8" x14ac:dyDescent="0.25">
      <c r="A821" s="20">
        <v>12506</v>
      </c>
      <c r="B821" s="8">
        <v>87</v>
      </c>
    </row>
    <row r="822" spans="1:2" ht="13.8" x14ac:dyDescent="0.25">
      <c r="A822" s="19">
        <v>4823</v>
      </c>
      <c r="B822" s="8">
        <v>74</v>
      </c>
    </row>
    <row r="823" spans="1:2" ht="13.8" x14ac:dyDescent="0.25">
      <c r="A823" s="20">
        <v>35947</v>
      </c>
      <c r="B823" s="8">
        <v>49</v>
      </c>
    </row>
    <row r="824" spans="1:2" ht="13.8" x14ac:dyDescent="0.25">
      <c r="A824" s="19">
        <v>17899</v>
      </c>
      <c r="B824" s="8">
        <v>73</v>
      </c>
    </row>
    <row r="825" spans="1:2" ht="13.8" x14ac:dyDescent="0.25">
      <c r="A825" s="20">
        <v>16704</v>
      </c>
      <c r="B825" s="8">
        <v>68</v>
      </c>
    </row>
    <row r="826" spans="1:2" ht="13.8" x14ac:dyDescent="0.25">
      <c r="A826" s="19">
        <v>47071</v>
      </c>
      <c r="B826" s="8">
        <v>46</v>
      </c>
    </row>
    <row r="827" spans="1:2" ht="13.8" x14ac:dyDescent="0.25">
      <c r="A827" s="20">
        <v>1444</v>
      </c>
      <c r="B827" s="8">
        <v>91</v>
      </c>
    </row>
    <row r="828" spans="1:2" ht="13.8" x14ac:dyDescent="0.25">
      <c r="A828" s="19">
        <v>31752</v>
      </c>
      <c r="B828" s="8">
        <v>76</v>
      </c>
    </row>
    <row r="829" spans="1:2" ht="13.8" x14ac:dyDescent="0.25">
      <c r="A829" s="20">
        <v>22748</v>
      </c>
      <c r="B829" s="8">
        <v>88</v>
      </c>
    </row>
    <row r="830" spans="1:2" ht="13.8" x14ac:dyDescent="0.25">
      <c r="A830" s="19">
        <v>35267</v>
      </c>
      <c r="B830" s="8">
        <v>65</v>
      </c>
    </row>
    <row r="831" spans="1:2" ht="13.8" x14ac:dyDescent="0.25">
      <c r="A831" s="20">
        <v>8679</v>
      </c>
      <c r="B831" s="8">
        <v>41</v>
      </c>
    </row>
    <row r="832" spans="1:2" ht="13.8" x14ac:dyDescent="0.25">
      <c r="A832" s="19">
        <v>21101</v>
      </c>
      <c r="B832" s="8">
        <v>98</v>
      </c>
    </row>
    <row r="833" spans="1:2" ht="13.8" x14ac:dyDescent="0.25">
      <c r="A833" s="20">
        <v>46524</v>
      </c>
      <c r="B833" s="8">
        <v>65</v>
      </c>
    </row>
    <row r="834" spans="1:2" ht="13.8" x14ac:dyDescent="0.25">
      <c r="A834" s="19">
        <v>15444</v>
      </c>
      <c r="B834" s="8">
        <v>49</v>
      </c>
    </row>
    <row r="835" spans="1:2" ht="13.8" x14ac:dyDescent="0.25">
      <c r="A835" s="20">
        <v>29638</v>
      </c>
      <c r="B835" s="8">
        <v>85</v>
      </c>
    </row>
    <row r="836" spans="1:2" ht="13.8" x14ac:dyDescent="0.25">
      <c r="A836" s="19">
        <v>7874</v>
      </c>
      <c r="B836" s="8">
        <v>65</v>
      </c>
    </row>
    <row r="837" spans="1:2" ht="13.8" x14ac:dyDescent="0.25">
      <c r="A837" s="20">
        <v>18954</v>
      </c>
      <c r="B837" s="8">
        <v>43</v>
      </c>
    </row>
    <row r="838" spans="1:2" ht="13.8" x14ac:dyDescent="0.25">
      <c r="A838" s="19">
        <v>13890</v>
      </c>
      <c r="B838" s="8">
        <v>41</v>
      </c>
    </row>
    <row r="839" spans="1:2" ht="13.8" x14ac:dyDescent="0.25">
      <c r="A839" s="20">
        <v>5624</v>
      </c>
      <c r="B839" s="8">
        <v>55</v>
      </c>
    </row>
    <row r="840" spans="1:2" ht="13.8" x14ac:dyDescent="0.25">
      <c r="A840" s="19">
        <v>32638</v>
      </c>
      <c r="B840" s="8">
        <v>91</v>
      </c>
    </row>
    <row r="841" spans="1:2" ht="13.8" x14ac:dyDescent="0.25">
      <c r="A841" s="20">
        <v>16179</v>
      </c>
      <c r="B841" s="8">
        <v>81</v>
      </c>
    </row>
    <row r="842" spans="1:2" ht="13.8" x14ac:dyDescent="0.25">
      <c r="A842" s="19">
        <v>2904</v>
      </c>
      <c r="B842" s="8">
        <v>40</v>
      </c>
    </row>
    <row r="843" spans="1:2" ht="13.8" x14ac:dyDescent="0.25">
      <c r="A843" s="20">
        <v>16779</v>
      </c>
      <c r="B843" s="8">
        <v>47</v>
      </c>
    </row>
    <row r="844" spans="1:2" ht="13.8" x14ac:dyDescent="0.25">
      <c r="A844" s="19">
        <v>49274</v>
      </c>
      <c r="B844" s="8">
        <v>72</v>
      </c>
    </row>
    <row r="845" spans="1:2" ht="13.8" x14ac:dyDescent="0.25">
      <c r="A845" s="20">
        <v>13364</v>
      </c>
      <c r="B845" s="8">
        <v>78</v>
      </c>
    </row>
    <row r="846" spans="1:2" ht="13.8" x14ac:dyDescent="0.25">
      <c r="A846" s="19">
        <v>31492</v>
      </c>
      <c r="B846" s="8">
        <v>81</v>
      </c>
    </row>
    <row r="847" spans="1:2" ht="13.8" x14ac:dyDescent="0.25">
      <c r="A847" s="20">
        <v>9310</v>
      </c>
      <c r="B847" s="8">
        <v>83</v>
      </c>
    </row>
    <row r="848" spans="1:2" ht="13.8" x14ac:dyDescent="0.25">
      <c r="A848" s="19">
        <v>15901</v>
      </c>
      <c r="B848" s="8">
        <v>85</v>
      </c>
    </row>
    <row r="849" spans="1:2" ht="13.8" x14ac:dyDescent="0.25">
      <c r="A849" s="20">
        <v>46317</v>
      </c>
      <c r="B849" s="8">
        <v>67</v>
      </c>
    </row>
    <row r="850" spans="1:2" ht="13.8" x14ac:dyDescent="0.25">
      <c r="A850" s="19">
        <v>40607</v>
      </c>
      <c r="B850" s="8">
        <v>67</v>
      </c>
    </row>
    <row r="851" spans="1:2" ht="13.8" x14ac:dyDescent="0.25">
      <c r="A851" s="20">
        <v>48635</v>
      </c>
      <c r="B851" s="8">
        <v>44</v>
      </c>
    </row>
    <row r="852" spans="1:2" ht="13.8" x14ac:dyDescent="0.25">
      <c r="A852" s="19">
        <v>28509</v>
      </c>
      <c r="B852" s="8">
        <v>45</v>
      </c>
    </row>
    <row r="853" spans="1:2" ht="13.8" x14ac:dyDescent="0.25">
      <c r="A853" s="20">
        <v>13642</v>
      </c>
      <c r="B853" s="8">
        <v>94</v>
      </c>
    </row>
    <row r="854" spans="1:2" ht="13.8" x14ac:dyDescent="0.25">
      <c r="A854" s="19">
        <v>34054</v>
      </c>
      <c r="B854" s="8">
        <v>87</v>
      </c>
    </row>
    <row r="855" spans="1:2" ht="13.8" x14ac:dyDescent="0.25">
      <c r="A855" s="20">
        <v>12248</v>
      </c>
      <c r="B855" s="8">
        <v>67</v>
      </c>
    </row>
    <row r="856" spans="1:2" ht="13.8" x14ac:dyDescent="0.25">
      <c r="A856" s="19">
        <v>2542</v>
      </c>
      <c r="B856" s="8">
        <v>80</v>
      </c>
    </row>
    <row r="857" spans="1:2" ht="13.8" x14ac:dyDescent="0.25">
      <c r="A857" s="20">
        <v>6129</v>
      </c>
      <c r="B857" s="8">
        <v>72</v>
      </c>
    </row>
    <row r="858" spans="1:2" ht="13.8" x14ac:dyDescent="0.25">
      <c r="A858" s="19">
        <v>2522</v>
      </c>
      <c r="B858" s="8">
        <v>84</v>
      </c>
    </row>
    <row r="859" spans="1:2" ht="13.8" x14ac:dyDescent="0.25">
      <c r="A859" s="20">
        <v>31250</v>
      </c>
      <c r="B859" s="8">
        <v>57</v>
      </c>
    </row>
    <row r="860" spans="1:2" ht="13.8" x14ac:dyDescent="0.25">
      <c r="A860" s="19">
        <v>505</v>
      </c>
      <c r="B860" s="8">
        <v>49</v>
      </c>
    </row>
    <row r="861" spans="1:2" ht="13.8" x14ac:dyDescent="0.25">
      <c r="A861" s="20">
        <v>45544</v>
      </c>
      <c r="B861" s="8">
        <v>86</v>
      </c>
    </row>
    <row r="862" spans="1:2" ht="13.8" x14ac:dyDescent="0.25">
      <c r="A862" s="19">
        <v>38214</v>
      </c>
      <c r="B862" s="8">
        <v>64</v>
      </c>
    </row>
    <row r="863" spans="1:2" ht="13.8" x14ac:dyDescent="0.25">
      <c r="A863" s="20">
        <v>14172</v>
      </c>
      <c r="B863" s="8">
        <v>79</v>
      </c>
    </row>
    <row r="864" spans="1:2" ht="13.8" x14ac:dyDescent="0.25">
      <c r="A864" s="19">
        <v>2625</v>
      </c>
      <c r="B864" s="8">
        <v>79</v>
      </c>
    </row>
    <row r="865" spans="1:2" ht="13.8" x14ac:dyDescent="0.25">
      <c r="A865" s="20">
        <v>32258</v>
      </c>
      <c r="B865" s="8">
        <v>70</v>
      </c>
    </row>
    <row r="866" spans="1:2" ht="13.8" x14ac:dyDescent="0.25">
      <c r="A866" s="19">
        <v>44554</v>
      </c>
      <c r="B866" s="8">
        <v>51</v>
      </c>
    </row>
    <row r="867" spans="1:2" ht="13.8" x14ac:dyDescent="0.25">
      <c r="A867" s="20">
        <v>9842</v>
      </c>
      <c r="B867" s="8">
        <v>82</v>
      </c>
    </row>
    <row r="868" spans="1:2" ht="13.8" x14ac:dyDescent="0.25">
      <c r="A868" s="19">
        <v>25283</v>
      </c>
      <c r="B868" s="8">
        <v>56</v>
      </c>
    </row>
    <row r="869" spans="1:2" ht="13.8" x14ac:dyDescent="0.25">
      <c r="A869" s="20">
        <v>33092</v>
      </c>
      <c r="B869" s="8">
        <v>69</v>
      </c>
    </row>
    <row r="870" spans="1:2" ht="13.8" x14ac:dyDescent="0.25">
      <c r="A870" s="19">
        <v>32665</v>
      </c>
      <c r="B870" s="8">
        <v>88</v>
      </c>
    </row>
    <row r="871" spans="1:2" ht="13.8" x14ac:dyDescent="0.25">
      <c r="A871" s="20">
        <v>24701</v>
      </c>
      <c r="B871" s="8">
        <v>99</v>
      </c>
    </row>
    <row r="872" spans="1:2" ht="13.8" x14ac:dyDescent="0.25">
      <c r="A872" s="19">
        <v>27881</v>
      </c>
      <c r="B872" s="8">
        <v>100</v>
      </c>
    </row>
    <row r="873" spans="1:2" ht="13.8" x14ac:dyDescent="0.25">
      <c r="A873" s="20">
        <v>17113</v>
      </c>
      <c r="B873" s="8">
        <v>83</v>
      </c>
    </row>
    <row r="874" spans="1:2" ht="13.8" x14ac:dyDescent="0.25">
      <c r="A874" s="19">
        <v>27148</v>
      </c>
      <c r="B874" s="8">
        <v>41</v>
      </c>
    </row>
    <row r="875" spans="1:2" ht="13.8" x14ac:dyDescent="0.25">
      <c r="A875" s="20">
        <v>41387</v>
      </c>
      <c r="B875" s="8">
        <v>76</v>
      </c>
    </row>
    <row r="876" spans="1:2" ht="13.8" x14ac:dyDescent="0.25">
      <c r="A876" s="19">
        <v>44644</v>
      </c>
      <c r="B876" s="8">
        <v>88</v>
      </c>
    </row>
    <row r="877" spans="1:2" ht="13.8" x14ac:dyDescent="0.25">
      <c r="A877" s="20">
        <v>20676</v>
      </c>
      <c r="B877" s="8">
        <v>68</v>
      </c>
    </row>
    <row r="878" spans="1:2" ht="13.8" x14ac:dyDescent="0.25">
      <c r="A878" s="19">
        <v>1846</v>
      </c>
      <c r="B878" s="8">
        <v>94</v>
      </c>
    </row>
    <row r="879" spans="1:2" ht="13.8" x14ac:dyDescent="0.25">
      <c r="A879" s="20">
        <v>19077</v>
      </c>
      <c r="B879" s="8">
        <v>56</v>
      </c>
    </row>
    <row r="880" spans="1:2" ht="13.8" x14ac:dyDescent="0.25">
      <c r="A880" s="19">
        <v>21577</v>
      </c>
      <c r="B880" s="8">
        <v>53</v>
      </c>
    </row>
    <row r="881" spans="1:2" ht="13.8" x14ac:dyDescent="0.25">
      <c r="A881" s="20">
        <v>3314</v>
      </c>
      <c r="B881" s="8">
        <v>95</v>
      </c>
    </row>
    <row r="882" spans="1:2" ht="13.8" x14ac:dyDescent="0.25">
      <c r="A882" s="19">
        <v>34247</v>
      </c>
      <c r="B882" s="8">
        <v>90</v>
      </c>
    </row>
    <row r="883" spans="1:2" ht="13.8" x14ac:dyDescent="0.25">
      <c r="A883" s="20">
        <v>38893</v>
      </c>
      <c r="B883" s="8">
        <v>62</v>
      </c>
    </row>
    <row r="884" spans="1:2" ht="13.8" x14ac:dyDescent="0.25">
      <c r="A884" s="19">
        <v>46868</v>
      </c>
      <c r="B884" s="8">
        <v>77</v>
      </c>
    </row>
    <row r="885" spans="1:2" ht="13.8" x14ac:dyDescent="0.25">
      <c r="A885" s="20">
        <v>16900</v>
      </c>
      <c r="B885" s="8">
        <v>91</v>
      </c>
    </row>
    <row r="886" spans="1:2" ht="13.8" x14ac:dyDescent="0.25">
      <c r="A886" s="19">
        <v>9243</v>
      </c>
      <c r="B886" s="8">
        <v>62</v>
      </c>
    </row>
    <row r="887" spans="1:2" ht="13.8" x14ac:dyDescent="0.25">
      <c r="A887" s="20">
        <v>37967</v>
      </c>
      <c r="B887" s="8">
        <v>53</v>
      </c>
    </row>
    <row r="888" spans="1:2" ht="13.8" x14ac:dyDescent="0.25">
      <c r="A888" s="19">
        <v>35753</v>
      </c>
      <c r="B888" s="8">
        <v>60</v>
      </c>
    </row>
    <row r="889" spans="1:2" ht="13.8" x14ac:dyDescent="0.25">
      <c r="A889" s="20">
        <v>40560</v>
      </c>
      <c r="B889" s="8">
        <v>65</v>
      </c>
    </row>
    <row r="890" spans="1:2" ht="13.8" x14ac:dyDescent="0.25">
      <c r="A890" s="19">
        <v>26186</v>
      </c>
      <c r="B890" s="8">
        <v>62</v>
      </c>
    </row>
    <row r="891" spans="1:2" ht="13.8" x14ac:dyDescent="0.25">
      <c r="A891" s="20">
        <v>20284</v>
      </c>
      <c r="B891" s="8">
        <v>81</v>
      </c>
    </row>
    <row r="892" spans="1:2" ht="13.8" x14ac:dyDescent="0.25">
      <c r="A892" s="19">
        <v>39034</v>
      </c>
      <c r="B892" s="8">
        <v>52</v>
      </c>
    </row>
    <row r="893" spans="1:2" ht="13.8" x14ac:dyDescent="0.25">
      <c r="A893" s="20">
        <v>24541</v>
      </c>
      <c r="B893" s="8">
        <v>54</v>
      </c>
    </row>
    <row r="894" spans="1:2" ht="13.8" x14ac:dyDescent="0.25">
      <c r="A894" s="19">
        <v>24630</v>
      </c>
      <c r="B894" s="8">
        <v>98</v>
      </c>
    </row>
    <row r="895" spans="1:2" ht="13.8" x14ac:dyDescent="0.25">
      <c r="A895" s="20">
        <v>48244</v>
      </c>
      <c r="B895" s="8">
        <v>63</v>
      </c>
    </row>
    <row r="896" spans="1:2" ht="13.8" x14ac:dyDescent="0.25">
      <c r="A896" s="19">
        <v>48207</v>
      </c>
      <c r="B896" s="8">
        <v>71</v>
      </c>
    </row>
    <row r="897" spans="1:2" ht="13.8" x14ac:dyDescent="0.25">
      <c r="A897" s="20">
        <v>46177</v>
      </c>
      <c r="B897" s="8">
        <v>70</v>
      </c>
    </row>
    <row r="898" spans="1:2" ht="13.8" x14ac:dyDescent="0.25">
      <c r="A898" s="19">
        <v>1706</v>
      </c>
      <c r="B898" s="8">
        <v>41</v>
      </c>
    </row>
    <row r="899" spans="1:2" ht="13.8" x14ac:dyDescent="0.25">
      <c r="A899" s="20">
        <v>5773</v>
      </c>
      <c r="B899" s="8">
        <v>58</v>
      </c>
    </row>
    <row r="900" spans="1:2" ht="13.8" x14ac:dyDescent="0.25">
      <c r="A900" s="19">
        <v>12033</v>
      </c>
      <c r="B900" s="8">
        <v>46</v>
      </c>
    </row>
    <row r="901" spans="1:2" ht="13.8" x14ac:dyDescent="0.25">
      <c r="A901" s="20">
        <v>37978</v>
      </c>
      <c r="B901" s="8">
        <v>55</v>
      </c>
    </row>
    <row r="902" spans="1:2" ht="13.8" x14ac:dyDescent="0.25">
      <c r="A902" s="19">
        <v>9380</v>
      </c>
      <c r="B902" s="8">
        <v>79</v>
      </c>
    </row>
    <row r="903" spans="1:2" ht="13.8" x14ac:dyDescent="0.25">
      <c r="A903" s="20">
        <v>1692</v>
      </c>
      <c r="B903" s="8">
        <v>88</v>
      </c>
    </row>
    <row r="904" spans="1:2" ht="13.8" x14ac:dyDescent="0.25">
      <c r="A904" s="19">
        <v>19290</v>
      </c>
      <c r="B904" s="8">
        <v>40</v>
      </c>
    </row>
    <row r="905" spans="1:2" ht="13.8" x14ac:dyDescent="0.25">
      <c r="A905" s="20">
        <v>18439</v>
      </c>
      <c r="B905" s="8">
        <v>88</v>
      </c>
    </row>
    <row r="906" spans="1:2" ht="13.8" x14ac:dyDescent="0.25">
      <c r="A906" s="19">
        <v>18210</v>
      </c>
      <c r="B906" s="8">
        <v>64</v>
      </c>
    </row>
    <row r="907" spans="1:2" ht="13.8" x14ac:dyDescent="0.25">
      <c r="A907" s="20">
        <v>11316</v>
      </c>
      <c r="B907" s="8">
        <v>40</v>
      </c>
    </row>
    <row r="908" spans="1:2" ht="13.8" x14ac:dyDescent="0.25">
      <c r="A908" s="19">
        <v>15034</v>
      </c>
      <c r="B908" s="8">
        <v>63</v>
      </c>
    </row>
    <row r="909" spans="1:2" ht="13.8" x14ac:dyDescent="0.25">
      <c r="A909" s="20">
        <v>21847</v>
      </c>
      <c r="B909" s="8">
        <v>90</v>
      </c>
    </row>
    <row r="910" spans="1:2" ht="13.8" x14ac:dyDescent="0.25">
      <c r="A910" s="19">
        <v>21346</v>
      </c>
      <c r="B910" s="8">
        <v>87</v>
      </c>
    </row>
    <row r="911" spans="1:2" ht="13.8" x14ac:dyDescent="0.25">
      <c r="A911" s="20">
        <v>44453</v>
      </c>
      <c r="B911" s="8">
        <v>88</v>
      </c>
    </row>
    <row r="912" spans="1:2" ht="13.8" x14ac:dyDescent="0.25">
      <c r="A912" s="19">
        <v>20213</v>
      </c>
      <c r="B912" s="8">
        <v>73</v>
      </c>
    </row>
    <row r="913" spans="1:2" ht="13.8" x14ac:dyDescent="0.25">
      <c r="A913" s="20">
        <v>32178</v>
      </c>
      <c r="B913" s="8">
        <v>84</v>
      </c>
    </row>
    <row r="914" spans="1:2" ht="13.8" x14ac:dyDescent="0.25">
      <c r="A914" s="19">
        <v>34435</v>
      </c>
      <c r="B914" s="8">
        <v>70</v>
      </c>
    </row>
    <row r="915" spans="1:2" ht="13.8" x14ac:dyDescent="0.25">
      <c r="A915" s="20">
        <v>43109</v>
      </c>
      <c r="B915" s="8">
        <v>54</v>
      </c>
    </row>
    <row r="916" spans="1:2" ht="13.8" x14ac:dyDescent="0.25">
      <c r="A916" s="19">
        <v>12310</v>
      </c>
      <c r="B916" s="8">
        <v>78</v>
      </c>
    </row>
    <row r="917" spans="1:2" ht="13.8" x14ac:dyDescent="0.25">
      <c r="A917" s="20">
        <v>36766</v>
      </c>
      <c r="B917" s="8">
        <v>86</v>
      </c>
    </row>
    <row r="918" spans="1:2" ht="13.8" x14ac:dyDescent="0.25">
      <c r="A918" s="19">
        <v>21533</v>
      </c>
      <c r="B918" s="8">
        <v>42</v>
      </c>
    </row>
    <row r="919" spans="1:2" ht="13.8" x14ac:dyDescent="0.25">
      <c r="A919" s="20">
        <v>7020</v>
      </c>
      <c r="B919" s="8">
        <v>87</v>
      </c>
    </row>
    <row r="920" spans="1:2" ht="13.8" x14ac:dyDescent="0.25">
      <c r="A920" s="19">
        <v>4277</v>
      </c>
      <c r="B920" s="8">
        <v>53</v>
      </c>
    </row>
    <row r="921" spans="1:2" ht="13.8" x14ac:dyDescent="0.25">
      <c r="A921" s="20">
        <v>43894</v>
      </c>
      <c r="B921" s="8">
        <v>64</v>
      </c>
    </row>
    <row r="922" spans="1:2" ht="13.8" x14ac:dyDescent="0.25">
      <c r="A922" s="19">
        <v>561</v>
      </c>
      <c r="B922" s="8">
        <v>82</v>
      </c>
    </row>
    <row r="923" spans="1:2" ht="13.8" x14ac:dyDescent="0.25">
      <c r="A923" s="20">
        <v>27039</v>
      </c>
      <c r="B923" s="8">
        <v>79</v>
      </c>
    </row>
    <row r="924" spans="1:2" ht="13.8" x14ac:dyDescent="0.25">
      <c r="A924" s="19">
        <v>8745</v>
      </c>
      <c r="B924" s="8">
        <v>51</v>
      </c>
    </row>
    <row r="925" spans="1:2" ht="13.8" x14ac:dyDescent="0.25">
      <c r="A925" s="20">
        <v>44617</v>
      </c>
      <c r="B925" s="8">
        <v>41</v>
      </c>
    </row>
    <row r="926" spans="1:2" ht="13.8" x14ac:dyDescent="0.25">
      <c r="A926" s="19">
        <v>23050</v>
      </c>
      <c r="B926" s="8">
        <v>83</v>
      </c>
    </row>
    <row r="927" spans="1:2" ht="13.8" x14ac:dyDescent="0.25">
      <c r="A927" s="20">
        <v>27613</v>
      </c>
      <c r="B927" s="8">
        <v>97</v>
      </c>
    </row>
    <row r="928" spans="1:2" ht="13.8" x14ac:dyDescent="0.25">
      <c r="A928" s="19">
        <v>49947</v>
      </c>
      <c r="B928" s="8">
        <v>57</v>
      </c>
    </row>
    <row r="929" spans="1:2" ht="13.8" x14ac:dyDescent="0.25">
      <c r="A929" s="20">
        <v>39309</v>
      </c>
      <c r="B929" s="8">
        <v>62</v>
      </c>
    </row>
    <row r="930" spans="1:2" ht="13.8" x14ac:dyDescent="0.25">
      <c r="A930" s="19">
        <v>8458</v>
      </c>
      <c r="B930" s="8">
        <v>40</v>
      </c>
    </row>
    <row r="931" spans="1:2" ht="13.8" x14ac:dyDescent="0.25">
      <c r="A931" s="20">
        <v>3906</v>
      </c>
      <c r="B931" s="8">
        <v>71</v>
      </c>
    </row>
    <row r="932" spans="1:2" ht="13.8" x14ac:dyDescent="0.25">
      <c r="A932" s="19">
        <v>850</v>
      </c>
      <c r="B932" s="8">
        <v>69</v>
      </c>
    </row>
    <row r="933" spans="1:2" ht="13.8" x14ac:dyDescent="0.25">
      <c r="A933" s="20">
        <v>40343</v>
      </c>
      <c r="B933" s="8">
        <v>97</v>
      </c>
    </row>
    <row r="934" spans="1:2" ht="13.8" x14ac:dyDescent="0.25">
      <c r="A934" s="19">
        <v>5164</v>
      </c>
      <c r="B934" s="8">
        <v>96</v>
      </c>
    </row>
    <row r="935" spans="1:2" ht="13.8" x14ac:dyDescent="0.25">
      <c r="A935" s="20">
        <v>40116</v>
      </c>
      <c r="B935" s="8">
        <v>53</v>
      </c>
    </row>
    <row r="936" spans="1:2" ht="13.8" x14ac:dyDescent="0.25">
      <c r="A936" s="19">
        <v>9625</v>
      </c>
      <c r="B936" s="8">
        <v>97</v>
      </c>
    </row>
    <row r="937" spans="1:2" ht="13.8" x14ac:dyDescent="0.25">
      <c r="A937" s="20">
        <v>31908</v>
      </c>
      <c r="B937" s="8">
        <v>46</v>
      </c>
    </row>
    <row r="938" spans="1:2" ht="13.8" x14ac:dyDescent="0.25">
      <c r="A938" s="19">
        <v>41464</v>
      </c>
      <c r="B938" s="8">
        <v>49</v>
      </c>
    </row>
    <row r="939" spans="1:2" ht="13.8" x14ac:dyDescent="0.25">
      <c r="A939" s="20">
        <v>37601</v>
      </c>
      <c r="B939" s="8">
        <v>70</v>
      </c>
    </row>
    <row r="940" spans="1:2" ht="13.8" x14ac:dyDescent="0.25">
      <c r="A940" s="19">
        <v>34510</v>
      </c>
      <c r="B940" s="8">
        <v>61</v>
      </c>
    </row>
    <row r="941" spans="1:2" ht="13.8" x14ac:dyDescent="0.25">
      <c r="A941" s="20">
        <v>20410</v>
      </c>
      <c r="B941" s="8">
        <v>93</v>
      </c>
    </row>
    <row r="942" spans="1:2" ht="13.8" x14ac:dyDescent="0.25">
      <c r="A942" s="19">
        <v>34872</v>
      </c>
      <c r="B942" s="8">
        <v>53</v>
      </c>
    </row>
    <row r="943" spans="1:2" ht="13.8" x14ac:dyDescent="0.25">
      <c r="A943" s="20">
        <v>19607</v>
      </c>
      <c r="B943" s="8">
        <v>77</v>
      </c>
    </row>
    <row r="944" spans="1:2" ht="13.8" x14ac:dyDescent="0.25">
      <c r="A944" s="19">
        <v>36766</v>
      </c>
      <c r="B944" s="8">
        <v>100</v>
      </c>
    </row>
    <row r="945" spans="1:2" ht="13.8" x14ac:dyDescent="0.25">
      <c r="A945" s="20">
        <v>3085</v>
      </c>
      <c r="B945" s="8">
        <v>100</v>
      </c>
    </row>
    <row r="946" spans="1:2" ht="13.8" x14ac:dyDescent="0.25">
      <c r="A946" s="19">
        <v>21257</v>
      </c>
      <c r="B946" s="8">
        <v>50</v>
      </c>
    </row>
    <row r="947" spans="1:2" ht="13.8" x14ac:dyDescent="0.25">
      <c r="A947" s="20">
        <v>49031</v>
      </c>
      <c r="B947" s="8">
        <v>77</v>
      </c>
    </row>
    <row r="948" spans="1:2" ht="13.8" x14ac:dyDescent="0.25">
      <c r="A948" s="19">
        <v>29845</v>
      </c>
      <c r="B948" s="8">
        <v>45</v>
      </c>
    </row>
    <row r="949" spans="1:2" ht="13.8" x14ac:dyDescent="0.25">
      <c r="A949" s="20">
        <v>8576</v>
      </c>
      <c r="B949" s="8">
        <v>53</v>
      </c>
    </row>
    <row r="950" spans="1:2" ht="13.8" x14ac:dyDescent="0.25">
      <c r="A950" s="19">
        <v>16921</v>
      </c>
      <c r="B950" s="8">
        <v>49</v>
      </c>
    </row>
    <row r="951" spans="1:2" ht="13.8" x14ac:dyDescent="0.25">
      <c r="A951" s="20">
        <v>3412</v>
      </c>
      <c r="B951" s="8">
        <v>93</v>
      </c>
    </row>
    <row r="952" spans="1:2" ht="13.8" x14ac:dyDescent="0.25">
      <c r="A952" s="19">
        <v>9738</v>
      </c>
      <c r="B952" s="8">
        <v>70</v>
      </c>
    </row>
    <row r="953" spans="1:2" ht="13.8" x14ac:dyDescent="0.25">
      <c r="A953" s="20">
        <v>9247</v>
      </c>
      <c r="B953" s="8">
        <v>62</v>
      </c>
    </row>
    <row r="954" spans="1:2" ht="13.8" x14ac:dyDescent="0.25">
      <c r="A954" s="19">
        <v>14801</v>
      </c>
      <c r="B954" s="8">
        <v>77</v>
      </c>
    </row>
    <row r="955" spans="1:2" ht="13.8" x14ac:dyDescent="0.25">
      <c r="A955" s="20">
        <v>15407</v>
      </c>
      <c r="B955" s="8">
        <v>66</v>
      </c>
    </row>
    <row r="956" spans="1:2" ht="13.8" x14ac:dyDescent="0.25">
      <c r="A956" s="19">
        <v>28334</v>
      </c>
      <c r="B956" s="8">
        <v>49</v>
      </c>
    </row>
    <row r="957" spans="1:2" ht="13.8" x14ac:dyDescent="0.25">
      <c r="A957" s="20">
        <v>34481</v>
      </c>
      <c r="B957" s="8">
        <v>57</v>
      </c>
    </row>
    <row r="958" spans="1:2" ht="13.8" x14ac:dyDescent="0.25">
      <c r="A958" s="19">
        <v>26471</v>
      </c>
      <c r="B958" s="8">
        <v>73</v>
      </c>
    </row>
    <row r="959" spans="1:2" ht="13.8" x14ac:dyDescent="0.25">
      <c r="A959" s="20">
        <v>20099</v>
      </c>
      <c r="B959" s="8">
        <v>87</v>
      </c>
    </row>
    <row r="960" spans="1:2" ht="13.8" x14ac:dyDescent="0.25">
      <c r="A960" s="19">
        <v>15067</v>
      </c>
      <c r="B960" s="8">
        <v>56</v>
      </c>
    </row>
    <row r="961" spans="1:2" ht="13.8" x14ac:dyDescent="0.25">
      <c r="A961" s="20">
        <v>42560</v>
      </c>
      <c r="B961" s="8">
        <v>72</v>
      </c>
    </row>
    <row r="962" spans="1:2" ht="13.8" x14ac:dyDescent="0.25">
      <c r="A962" s="19">
        <v>12475</v>
      </c>
      <c r="B962" s="8">
        <v>68</v>
      </c>
    </row>
    <row r="963" spans="1:2" ht="13.8" x14ac:dyDescent="0.25">
      <c r="A963" s="20">
        <v>24467</v>
      </c>
      <c r="B963" s="8">
        <v>56</v>
      </c>
    </row>
    <row r="964" spans="1:2" ht="13.8" x14ac:dyDescent="0.25">
      <c r="A964" s="19">
        <v>27140</v>
      </c>
      <c r="B964" s="8">
        <v>89</v>
      </c>
    </row>
    <row r="965" spans="1:2" ht="13.8" x14ac:dyDescent="0.25">
      <c r="A965" s="20">
        <v>42454</v>
      </c>
      <c r="B965" s="8">
        <v>86</v>
      </c>
    </row>
    <row r="966" spans="1:2" ht="13.8" x14ac:dyDescent="0.25">
      <c r="A966" s="19">
        <v>25433</v>
      </c>
      <c r="B966" s="8">
        <v>52</v>
      </c>
    </row>
    <row r="967" spans="1:2" ht="13.8" x14ac:dyDescent="0.25">
      <c r="A967" s="20">
        <v>49237</v>
      </c>
      <c r="B967" s="8">
        <v>96</v>
      </c>
    </row>
    <row r="968" spans="1:2" ht="13.8" x14ac:dyDescent="0.25">
      <c r="A968" s="19">
        <v>6621</v>
      </c>
      <c r="B968" s="8">
        <v>63</v>
      </c>
    </row>
    <row r="969" spans="1:2" ht="13.8" x14ac:dyDescent="0.25">
      <c r="A969" s="20">
        <v>28247</v>
      </c>
      <c r="B969" s="8">
        <v>92</v>
      </c>
    </row>
    <row r="970" spans="1:2" ht="13.8" x14ac:dyDescent="0.25">
      <c r="A970" s="19">
        <v>36858</v>
      </c>
      <c r="B970" s="8">
        <v>96</v>
      </c>
    </row>
    <row r="971" spans="1:2" ht="13.8" x14ac:dyDescent="0.25">
      <c r="A971" s="20">
        <v>39547</v>
      </c>
      <c r="B971" s="8">
        <v>90</v>
      </c>
    </row>
    <row r="972" spans="1:2" ht="13.8" x14ac:dyDescent="0.25">
      <c r="A972" s="19">
        <v>32940</v>
      </c>
      <c r="B972" s="8">
        <v>53</v>
      </c>
    </row>
    <row r="973" spans="1:2" ht="13.8" x14ac:dyDescent="0.25">
      <c r="A973" s="20">
        <v>10872</v>
      </c>
      <c r="B973" s="8">
        <v>91</v>
      </c>
    </row>
    <row r="974" spans="1:2" ht="13.8" x14ac:dyDescent="0.25">
      <c r="A974" s="19">
        <v>4086</v>
      </c>
      <c r="B974" s="8">
        <v>86</v>
      </c>
    </row>
    <row r="975" spans="1:2" ht="13.8" x14ac:dyDescent="0.25">
      <c r="A975" s="20">
        <v>7384</v>
      </c>
      <c r="B975" s="8">
        <v>73</v>
      </c>
    </row>
    <row r="976" spans="1:2" ht="13.8" x14ac:dyDescent="0.25">
      <c r="A976" s="19">
        <v>31460</v>
      </c>
      <c r="B976" s="8">
        <v>43</v>
      </c>
    </row>
    <row r="977" spans="1:2" ht="13.8" x14ac:dyDescent="0.25">
      <c r="A977" s="20">
        <v>46729</v>
      </c>
      <c r="B977" s="8">
        <v>84</v>
      </c>
    </row>
    <row r="978" spans="1:2" ht="13.8" x14ac:dyDescent="0.25">
      <c r="A978" s="19">
        <v>30434</v>
      </c>
      <c r="B978" s="8">
        <v>59</v>
      </c>
    </row>
    <row r="979" spans="1:2" ht="13.8" x14ac:dyDescent="0.25">
      <c r="A979" s="20">
        <v>1889</v>
      </c>
      <c r="B979" s="8">
        <v>46</v>
      </c>
    </row>
    <row r="980" spans="1:2" ht="13.8" x14ac:dyDescent="0.25">
      <c r="A980" s="19">
        <v>23991</v>
      </c>
      <c r="B980" s="8">
        <v>92</v>
      </c>
    </row>
    <row r="981" spans="1:2" ht="13.8" x14ac:dyDescent="0.25">
      <c r="A981" s="20">
        <v>37157</v>
      </c>
      <c r="B981" s="8">
        <v>57</v>
      </c>
    </row>
    <row r="982" spans="1:2" ht="13.8" x14ac:dyDescent="0.25">
      <c r="A982" s="19">
        <v>10060</v>
      </c>
      <c r="B982" s="8">
        <v>54.5</v>
      </c>
    </row>
    <row r="983" spans="1:2" ht="13.8" x14ac:dyDescent="0.25">
      <c r="A983" s="20">
        <v>21216</v>
      </c>
      <c r="B983" s="8">
        <v>41</v>
      </c>
    </row>
    <row r="984" spans="1:2" ht="13.8" x14ac:dyDescent="0.25">
      <c r="A984" s="19">
        <v>31900</v>
      </c>
      <c r="B984" s="8">
        <v>83</v>
      </c>
    </row>
    <row r="985" spans="1:2" ht="13.8" x14ac:dyDescent="0.25">
      <c r="A985" s="20">
        <v>44936</v>
      </c>
      <c r="B985" s="8">
        <v>80</v>
      </c>
    </row>
    <row r="986" spans="1:2" ht="13.8" x14ac:dyDescent="0.25">
      <c r="A986" s="19">
        <v>752</v>
      </c>
      <c r="B986" s="8">
        <v>86</v>
      </c>
    </row>
    <row r="987" spans="1:2" ht="13.8" x14ac:dyDescent="0.25">
      <c r="A987" s="20">
        <v>45511</v>
      </c>
      <c r="B987" s="8">
        <v>44</v>
      </c>
    </row>
    <row r="988" spans="1:2" ht="13.8" x14ac:dyDescent="0.25">
      <c r="A988" s="19">
        <v>20847</v>
      </c>
      <c r="B988" s="18">
        <v>70.195999999999998</v>
      </c>
    </row>
    <row r="989" spans="1:2" ht="13.8" x14ac:dyDescent="0.25">
      <c r="A989" s="20">
        <v>14919</v>
      </c>
    </row>
    <row r="990" spans="1:2" ht="13.8" x14ac:dyDescent="0.25">
      <c r="A990" s="19">
        <v>28953</v>
      </c>
    </row>
    <row r="991" spans="1:2" ht="13.8" x14ac:dyDescent="0.25">
      <c r="A991" s="20">
        <v>25717</v>
      </c>
    </row>
    <row r="992" spans="1:2" ht="13.8" x14ac:dyDescent="0.25">
      <c r="A992" s="19">
        <v>8020</v>
      </c>
    </row>
    <row r="993" spans="1:1" ht="13.8" x14ac:dyDescent="0.25">
      <c r="A993" s="20">
        <v>28330</v>
      </c>
    </row>
    <row r="994" spans="1:1" ht="13.8" x14ac:dyDescent="0.25">
      <c r="A994" s="19">
        <v>18347</v>
      </c>
    </row>
    <row r="995" spans="1:1" ht="13.8" x14ac:dyDescent="0.25">
      <c r="A995" s="20">
        <v>45184</v>
      </c>
    </row>
    <row r="996" spans="1:1" ht="13.8" x14ac:dyDescent="0.25">
      <c r="A996" s="19">
        <v>18282</v>
      </c>
    </row>
    <row r="997" spans="1:1" ht="13.8" x14ac:dyDescent="0.25">
      <c r="A997" s="20">
        <v>40697</v>
      </c>
    </row>
    <row r="998" spans="1:1" ht="13.8" x14ac:dyDescent="0.25">
      <c r="A998" s="19">
        <v>7588</v>
      </c>
    </row>
    <row r="999" spans="1:1" ht="13.8" x14ac:dyDescent="0.25">
      <c r="A999" s="20">
        <v>25116</v>
      </c>
    </row>
    <row r="1000" spans="1:1" ht="13.8" x14ac:dyDescent="0.25">
      <c r="A1000" s="19">
        <v>29368</v>
      </c>
    </row>
    <row r="1001" spans="1:1" thickBot="1" x14ac:dyDescent="0.3">
      <c r="A1001" s="21">
        <v>29929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1A1B3-3ABB-4D51-899F-62FFF17E1EA1}">
  <dimension ref="A1:A41"/>
  <sheetViews>
    <sheetView workbookViewId="0">
      <selection activeCell="A33" sqref="A33"/>
    </sheetView>
  </sheetViews>
  <sheetFormatPr defaultRowHeight="14.4" x14ac:dyDescent="0.25"/>
  <cols>
    <col min="1" max="1" width="49.296875" customWidth="1"/>
  </cols>
  <sheetData>
    <row r="1" spans="1:1" ht="17.399999999999999" x14ac:dyDescent="0.25">
      <c r="A1" s="14" t="s">
        <v>1055</v>
      </c>
    </row>
    <row r="3" spans="1:1" ht="13.8" x14ac:dyDescent="0.25">
      <c r="A3" s="15" t="s">
        <v>1056</v>
      </c>
    </row>
    <row r="4" spans="1:1" ht="13.8" x14ac:dyDescent="0.25">
      <c r="A4" s="12"/>
    </row>
    <row r="5" spans="1:1" ht="13.8" x14ac:dyDescent="0.25">
      <c r="A5" s="12" t="s">
        <v>1057</v>
      </c>
    </row>
    <row r="6" spans="1:1" ht="13.8" x14ac:dyDescent="0.25">
      <c r="A6" s="12"/>
    </row>
    <row r="7" spans="1:1" ht="13.8" x14ac:dyDescent="0.25">
      <c r="A7" s="12" t="s">
        <v>1058</v>
      </c>
    </row>
    <row r="8" spans="1:1" ht="13.8" x14ac:dyDescent="0.25">
      <c r="A8" s="12"/>
    </row>
    <row r="9" spans="1:1" ht="13.8" x14ac:dyDescent="0.25">
      <c r="A9" s="12" t="s">
        <v>1059</v>
      </c>
    </row>
    <row r="10" spans="1:1" ht="13.8" x14ac:dyDescent="0.25">
      <c r="A10" s="12"/>
    </row>
    <row r="11" spans="1:1" ht="13.8" x14ac:dyDescent="0.25">
      <c r="A11" s="12" t="s">
        <v>1060</v>
      </c>
    </row>
    <row r="13" spans="1:1" ht="13.8" x14ac:dyDescent="0.25">
      <c r="A13" s="15" t="s">
        <v>1061</v>
      </c>
    </row>
    <row r="14" spans="1:1" ht="13.8" x14ac:dyDescent="0.25">
      <c r="A14" s="12"/>
    </row>
    <row r="15" spans="1:1" ht="13.8" x14ac:dyDescent="0.25">
      <c r="A15" s="12" t="s">
        <v>3</v>
      </c>
    </row>
    <row r="16" spans="1:1" ht="13.8" x14ac:dyDescent="0.25">
      <c r="A16" s="12"/>
    </row>
    <row r="17" spans="1:1" ht="13.8" x14ac:dyDescent="0.25">
      <c r="A17" s="12" t="s">
        <v>2</v>
      </c>
    </row>
    <row r="18" spans="1:1" ht="13.8" x14ac:dyDescent="0.25">
      <c r="A18" s="12"/>
    </row>
    <row r="19" spans="1:1" ht="13.8" x14ac:dyDescent="0.25">
      <c r="A19" s="12" t="s">
        <v>1062</v>
      </c>
    </row>
    <row r="21" spans="1:1" ht="13.8" x14ac:dyDescent="0.25">
      <c r="A21" s="15" t="s">
        <v>1063</v>
      </c>
    </row>
    <row r="22" spans="1:1" ht="13.8" x14ac:dyDescent="0.25">
      <c r="A22" s="12"/>
    </row>
    <row r="23" spans="1:1" ht="13.8" x14ac:dyDescent="0.25">
      <c r="A23" s="13" t="s">
        <v>1064</v>
      </c>
    </row>
    <row r="24" spans="1:1" ht="13.8" x14ac:dyDescent="0.25">
      <c r="A24" s="12"/>
    </row>
    <row r="25" spans="1:1" ht="13.8" x14ac:dyDescent="0.25">
      <c r="A25" s="13" t="s">
        <v>1065</v>
      </c>
    </row>
    <row r="26" spans="1:1" ht="13.8" x14ac:dyDescent="0.25">
      <c r="A26" s="12"/>
    </row>
    <row r="27" spans="1:1" ht="13.8" x14ac:dyDescent="0.25">
      <c r="A27" s="13" t="s">
        <v>1066</v>
      </c>
    </row>
    <row r="28" spans="1:1" ht="13.8" x14ac:dyDescent="0.25">
      <c r="A28" s="12"/>
    </row>
    <row r="29" spans="1:1" ht="13.8" x14ac:dyDescent="0.25">
      <c r="A29" s="13" t="s">
        <v>1067</v>
      </c>
    </row>
    <row r="30" spans="1:1" ht="13.8" x14ac:dyDescent="0.25">
      <c r="A30" s="12"/>
    </row>
    <row r="31" spans="1:1" ht="13.8" x14ac:dyDescent="0.25">
      <c r="A31" s="13" t="s">
        <v>1068</v>
      </c>
    </row>
    <row r="32" spans="1:1" ht="13.8" x14ac:dyDescent="0.25">
      <c r="A32" s="12"/>
    </row>
    <row r="33" spans="1:1" ht="13.8" x14ac:dyDescent="0.25">
      <c r="A33" s="13" t="s">
        <v>1069</v>
      </c>
    </row>
    <row r="35" spans="1:1" ht="13.8" x14ac:dyDescent="0.25">
      <c r="A35" t="s">
        <v>1070</v>
      </c>
    </row>
    <row r="36" spans="1:1" ht="13.8" x14ac:dyDescent="0.25">
      <c r="A36" s="12"/>
    </row>
    <row r="37" spans="1:1" ht="13.8" x14ac:dyDescent="0.25">
      <c r="A37" s="12" t="s">
        <v>1071</v>
      </c>
    </row>
    <row r="38" spans="1:1" ht="13.8" x14ac:dyDescent="0.25">
      <c r="A38" s="12"/>
    </row>
    <row r="39" spans="1:1" ht="13.8" x14ac:dyDescent="0.25">
      <c r="A39" s="12" t="s">
        <v>1072</v>
      </c>
    </row>
    <row r="40" spans="1:1" ht="13.8" x14ac:dyDescent="0.25">
      <c r="A40" s="12"/>
    </row>
    <row r="41" spans="1:1" ht="13.8" x14ac:dyDescent="0.25">
      <c r="A41" s="12" t="s">
        <v>1073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17382-3DFC-48DC-BCF0-46B938BCB517}">
  <dimension ref="A1"/>
  <sheetViews>
    <sheetView tabSelected="1" zoomScaleNormal="100" workbookViewId="0">
      <selection activeCell="D34" sqref="D34"/>
    </sheetView>
  </sheetViews>
  <sheetFormatPr defaultRowHeight="13.8" x14ac:dyDescent="0.25"/>
  <cols>
    <col min="1" max="1" width="1.796875" customWidth="1"/>
    <col min="2" max="2" width="16.69921875" customWidth="1"/>
    <col min="3" max="3" width="1.6992187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Cleaned_Data</vt:lpstr>
      <vt:lpstr>pivots</vt:lpstr>
      <vt:lpstr>Values</vt:lpstr>
      <vt:lpstr>Questions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BASTIPADU ARAVIND TEJA</cp:lastModifiedBy>
  <dcterms:created xsi:type="dcterms:W3CDTF">2025-11-15T07:36:48Z</dcterms:created>
  <dcterms:modified xsi:type="dcterms:W3CDTF">2025-11-15T12:56:32Z</dcterms:modified>
</cp:coreProperties>
</file>